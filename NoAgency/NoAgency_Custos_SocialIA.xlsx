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 Executivo" sheetId="1" state="visible" r:id="rId3"/>
    <sheet name="Detalhamento Dev" sheetId="2" state="visible" r:id="rId4"/>
    <sheet name="Manutenção Mensa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<sst xmlns="http://schemas.openxmlformats.org/spreadsheetml/2006/main" count="334" uniqueCount="252">
  <si>
    <t xml:space="preserve">No Agency — Modelo de Custos · Social IA (Instagram + Facebook)</t>
  </si>
  <si>
    <t xml:space="preserve">Versão sem Landing Page · Postagens iguais para Instagram e Facebook · 2026</t>
  </si>
  <si>
    <t xml:space="preserve">  BLOCO 1 — INVESTIMENTO INICIAL DE DESENVOLVIMENTO (pago uma vez)</t>
  </si>
  <si>
    <t xml:space="preserve">Componente</t>
  </si>
  <si>
    <t xml:space="preserve">Cenário A
Freelancer Sênior</t>
  </si>
  <si>
    <t xml:space="preserve">Cenário B
Agência</t>
  </si>
  <si>
    <t xml:space="preserve">Cenário C
No-code/Low-code</t>
  </si>
  <si>
    <t xml:space="preserve">Horas estimadas</t>
  </si>
  <si>
    <t xml:space="preserve">Prioridade MVP</t>
  </si>
  <si>
    <t xml:space="preserve">Chat de onboarding com IA (briefing guiado)</t>
  </si>
  <si>
    <t xml:space="preserve">40–60h</t>
  </si>
  <si>
    <t xml:space="preserve">✓ MVP</t>
  </si>
  <si>
    <t xml:space="preserve">DNA Brief — estrutura de dados + serialização</t>
  </si>
  <si>
    <t xml:space="preserve">20–30h</t>
  </si>
  <si>
    <t xml:space="preserve">Integração Google Drive (pasta de mídias)</t>
  </si>
  <si>
    <t xml:space="preserve">15–25h</t>
  </si>
  <si>
    <t xml:space="preserve">Pipeline de geração de conteúdo (IA)</t>
  </si>
  <si>
    <t xml:space="preserve">60–90h</t>
  </si>
  <si>
    <t xml:space="preserve">Revisão automática de conteúdo (IA checklist)</t>
  </si>
  <si>
    <t xml:space="preserve">Geração de artes com IA (DALL-E / SD)</t>
  </si>
  <si>
    <t xml:space="preserve">25–40h</t>
  </si>
  <si>
    <t xml:space="preserve">Calendário editorial (geração + visualização)</t>
  </si>
  <si>
    <t xml:space="preserve">30–45h</t>
  </si>
  <si>
    <t xml:space="preserve">Página de aprovação via link único</t>
  </si>
  <si>
    <t xml:space="preserve">35–55h</t>
  </si>
  <si>
    <t xml:space="preserve">NPS pós-aprovação + alimentação do DNA</t>
  </si>
  <si>
    <t xml:space="preserve">15–20h</t>
  </si>
  <si>
    <t xml:space="preserve">Dashboard cliente (status em tempo real)</t>
  </si>
  <si>
    <t xml:space="preserve">Publicação Meta Graph API (Insta + FB)</t>
  </si>
  <si>
    <t xml:space="preserve">50–75h</t>
  </si>
  <si>
    <t xml:space="preserve">Relatório semanal automático (e-mail + UI)</t>
  </si>
  <si>
    <t xml:space="preserve">Fluxos n8n (10 automações mapeadas)</t>
  </si>
  <si>
    <t xml:space="preserve">Autenticação + multi-tenant + pagamentos</t>
  </si>
  <si>
    <t xml:space="preserve">35–50h</t>
  </si>
  <si>
    <t xml:space="preserve">Infraestrutura inicial (deploy + domínio + SSL)</t>
  </si>
  <si>
    <t xml:space="preserve">Testes, QA e ajustes pós-lançamento</t>
  </si>
  <si>
    <t xml:space="preserve">TOTAL INVESTIMENTO INICIAL</t>
  </si>
  <si>
    <t xml:space="preserve">~600–750h total</t>
  </si>
  <si>
    <t xml:space="preserve">Prazo: 3–6 meses</t>
  </si>
  <si>
    <t xml:space="preserve">⚠  Azul = inputs alteráveis.  Cenário A = freelancer sênior BR (R$100–150/h).  Cenário B = agência de produto.  Cenário C = no-code/low-code (Bubble + n8n) — recomendado para MVP.  Após validação com 20 clientes, migrar para código próprio.</t>
  </si>
  <si>
    <t xml:space="preserve">  BLOCO 2 — CUSTOS MENSAIS DE MANUTENÇÃO (até 15 clientes ativos)</t>
  </si>
  <si>
    <t xml:space="preserve">Item de custo</t>
  </si>
  <si>
    <t xml:space="preserve">Tipo</t>
  </si>
  <si>
    <t xml:space="preserve">Custo/mês
(fixo)</t>
  </si>
  <si>
    <t xml:space="preserve">Custo/mês
(por cliente)</t>
  </si>
  <si>
    <t xml:space="preserve">Com 5 clientes</t>
  </si>
  <si>
    <t xml:space="preserve">Com 10 clientes</t>
  </si>
  <si>
    <t xml:space="preserve">Com 15 clientes</t>
  </si>
  <si>
    <t xml:space="preserve">Observação</t>
  </si>
  <si>
    <t xml:space="preserve">Supabase Pro (banco + auth + realtime)</t>
  </si>
  <si>
    <t xml:space="preserve">Fixo</t>
  </si>
  <si>
    <t xml:space="preserve">Inclui 8GB storage e realtime ilimitado</t>
  </si>
  <si>
    <t xml:space="preserve">Vercel Pro (frontend + landing pages)</t>
  </si>
  <si>
    <t xml:space="preserve">Deploy ilimitado, analytics básico</t>
  </si>
  <si>
    <t xml:space="preserve">Railway (n8n self-hosted + backend)</t>
  </si>
  <si>
    <t xml:space="preserve">2 serviços + banco Redis</t>
  </si>
  <si>
    <t xml:space="preserve">Resend (e-mail transacional)</t>
  </si>
  <si>
    <t xml:space="preserve">Até 50k e-mails/mês</t>
  </si>
  <si>
    <t xml:space="preserve">Domínio + SSL (noagency.io)</t>
  </si>
  <si>
    <t xml:space="preserve">Renovação anual ~R$120</t>
  </si>
  <si>
    <t xml:space="preserve">Claude API — geração de conteúdo</t>
  </si>
  <si>
    <t xml:space="preserve">Variável</t>
  </si>
  <si>
    <t xml:space="preserve">~2.300 tokens/post × 20 posts/mês</t>
  </si>
  <si>
    <t xml:space="preserve">DALL-E 3 / SD — geração de imagens</t>
  </si>
  <si>
    <t xml:space="preserve">~15 imagens/mês por cliente</t>
  </si>
  <si>
    <t xml:space="preserve">Meta Graph API</t>
  </si>
  <si>
    <t xml:space="preserve">Gratuito — custo zero direto</t>
  </si>
  <si>
    <t xml:space="preserve">Google Drive API</t>
  </si>
  <si>
    <t xml:space="preserve">Gratuito até 15GB por workspace</t>
  </si>
  <si>
    <t xml:space="preserve">Monitoramento e alertas (Sentry/Uptime)</t>
  </si>
  <si>
    <t xml:space="preserve">Free tier suficiente no início</t>
  </si>
  <si>
    <t xml:space="preserve">Dev — manutenção e bugs (10h/mês)</t>
  </si>
  <si>
    <t xml:space="preserve">Freelancer ~R$120/h × 10h</t>
  </si>
  <si>
    <t xml:space="preserve">Backup automatizado (S3/R2)</t>
  </si>
  <si>
    <t xml:space="preserve">Mídias dos clientes + DB snapshots</t>
  </si>
  <si>
    <t xml:space="preserve">TOTAL CUSTOS DE PLATAFORMA + DEV</t>
  </si>
  <si>
    <t xml:space="preserve">Custo total de operação (sem vendas)</t>
  </si>
  <si>
    <t xml:space="preserve">Vendedor (fixo baixo R$1.500 + comissão 15% sobre setup)</t>
  </si>
  <si>
    <t xml:space="preserve">Misto</t>
  </si>
  <si>
    <t xml:space="preserve">Comissão variável não incluída aqui — ver Sheet Detalhamento</t>
  </si>
  <si>
    <t xml:space="preserve">CUSTO TOTAL MENSAL (plataforma + dev + vendas)</t>
  </si>
  <si>
    <t xml:space="preserve">  BLOCO 3 — RECEITA E MARGEM BRUTA (até 15 clientes)</t>
  </si>
  <si>
    <t xml:space="preserve">Métrica</t>
  </si>
  <si>
    <t xml:space="preserve">Premissa</t>
  </si>
  <si>
    <t xml:space="preserve">5 clientes</t>
  </si>
  <si>
    <t xml:space="preserve">10 clientes</t>
  </si>
  <si>
    <t xml:space="preserve">15 clientes</t>
  </si>
  <si>
    <t xml:space="preserve">Mensalidade média por cliente</t>
  </si>
  <si>
    <t xml:space="preserve">Plano Crescimento como base (R$297–R$797)</t>
  </si>
  <si>
    <t xml:space="preserve">Setup médio por novo cliente</t>
  </si>
  <si>
    <t xml:space="preserve">Média dos 3 planos (R$597–R$1.497)</t>
  </si>
  <si>
    <t xml:space="preserve">Novos clientes/mês (fase estável)</t>
  </si>
  <si>
    <t xml:space="preserve">Meta conservadora após validação</t>
  </si>
  <si>
    <t xml:space="preserve">Churn mensal (%)</t>
  </si>
  <si>
    <t xml:space="preserve">3% — premissa conservadora</t>
  </si>
  <si>
    <t xml:space="preserve">Receita recorrente mensal</t>
  </si>
  <si>
    <t xml:space="preserve">Clientes ativos × mensalidade média</t>
  </si>
  <si>
    <t xml:space="preserve">Receita de setup (novos clientes/mês)</t>
  </si>
  <si>
    <t xml:space="preserve">Novos clientes × setup médio (mês cheio)</t>
  </si>
  <si>
    <t xml:space="preserve">RECEITA TOTAL DO MÊS</t>
  </si>
  <si>
    <t xml:space="preserve">MARGEM BRUTA (Receita − Custo Plataforma+Dev)</t>
  </si>
  <si>
    <t xml:space="preserve">Margem bruta (%)</t>
  </si>
  <si>
    <t xml:space="preserve">  BLOCO 4 — CUSTO OPERACIONAL POR CLIENTE (variável)</t>
  </si>
  <si>
    <t xml:space="preserve">Item</t>
  </si>
  <si>
    <t xml:space="preserve">Custo/mês
por cliente</t>
  </si>
  <si>
    <t xml:space="preserve">Base de cálculo</t>
  </si>
  <si>
    <t xml:space="preserve">Fonte</t>
  </si>
  <si>
    <t xml:space="preserve">Claude API — geração de textos (20 posts)</t>
  </si>
  <si>
    <t xml:space="preserve">~46.000 tokens entrada + 8.000 saída · Claude Sonnet 3.5</t>
  </si>
  <si>
    <t xml:space="preserve">Claude API pricing</t>
  </si>
  <si>
    <t xml:space="preserve">DALL-E 3 — geração de imagens (15 imgs)</t>
  </si>
  <si>
    <t xml:space="preserve">15 × $0.04/imagem · USD 5 = ~R$1,00/img · arredondado</t>
  </si>
  <si>
    <t xml:space="preserve">OpenAI API pricing</t>
  </si>
  <si>
    <t xml:space="preserve">Storage de mídias (Drive/S3)</t>
  </si>
  <si>
    <t xml:space="preserve">&lt; 500MB por cliente médio</t>
  </si>
  <si>
    <t xml:space="preserve">Google Drive / AWS S3</t>
  </si>
  <si>
    <t xml:space="preserve">E-mails transacionais (aprovações + NPS)</t>
  </si>
  <si>
    <t xml:space="preserve">~20 e-mails/mês por cliente · Resend pricing</t>
  </si>
  <si>
    <t xml:space="preserve">Resend</t>
  </si>
  <si>
    <t xml:space="preserve">Fração de infraestrutura variável</t>
  </si>
  <si>
    <t xml:space="preserve">Processamento n8n + Supabase realtime por cliente</t>
  </si>
  <si>
    <t xml:space="preserve">Estimativa conservadora</t>
  </si>
  <si>
    <t xml:space="preserve">CUSTO VARIÁVEL TOTAL POR CLIENTE / MÊS</t>
  </si>
  <si>
    <t xml:space="preserve">R$ 24/cliente/mês confirma margem bruta &gt; 95% sobre mensalidade media de R$497</t>
  </si>
  <si>
    <t xml:space="preserve">LEGENDA DE CORES:   🔵 Azul = input editável pelo usuário   ⬛ Preto = fórmula   🟡 Amarelo = total / atenção   🟢 Verde = resultado positivo</t>
  </si>
  <si>
    <t xml:space="preserve">Detalhamento — Custo de Desenvolvimento por Cenário</t>
  </si>
  <si>
    <t xml:space="preserve">CENÁRIO A — Freelancer Sênior (R$100–150/h)</t>
  </si>
  <si>
    <t xml:space="preserve">CENÁRIO B — Agência de Produto</t>
  </si>
  <si>
    <t xml:space="preserve">CENÁRIO C — No-code/Low-code (RECOMENDADO MVP)</t>
  </si>
  <si>
    <t xml:space="preserve">Módulo / Componente</t>
  </si>
  <si>
    <t xml:space="preserve">Custo A (R$)</t>
  </si>
  <si>
    <t xml:space="preserve">Custo B (R$)</t>
  </si>
  <si>
    <t xml:space="preserve">Custo C (R$)</t>
  </si>
  <si>
    <t xml:space="preserve">Horas (A)</t>
  </si>
  <si>
    <t xml:space="preserve">Sprint estimado</t>
  </si>
  <si>
    <t xml:space="preserve">Notas técnicas</t>
  </si>
  <si>
    <t xml:space="preserve">  INFRAESTRUTURA BASE</t>
  </si>
  <si>
    <t xml:space="preserve">Supabase setup + schema multi-tenant</t>
  </si>
  <si>
    <t xml:space="preserve">20-30h</t>
  </si>
  <si>
    <t xml:space="preserve">Sprint 1</t>
  </si>
  <si>
    <t xml:space="preserve">Crítico — fazer certo desde o início. Cada cliente = tenant isolado.</t>
  </si>
  <si>
    <t xml:space="preserve">Auth + gestão de usuários (OAuth Google)</t>
  </si>
  <si>
    <t xml:space="preserve">15-20h</t>
  </si>
  <si>
    <t xml:space="preserve">Supabase Auth + Google OAuth. NextAuth.js no front.</t>
  </si>
  <si>
    <t xml:space="preserve">Deploy pipeline (Vercel + Railway + CI/CD)</t>
  </si>
  <si>
    <t xml:space="preserve">10-15h</t>
  </si>
  <si>
    <t xml:space="preserve">Vercel para front, Railway para n8n + serviços.</t>
  </si>
  <si>
    <t xml:space="preserve">  ONBOARDING + BRIEFING</t>
  </si>
  <si>
    <t xml:space="preserve">Chat de onboarding IA (interface)</t>
  </si>
  <si>
    <t xml:space="preserve">25-35h</t>
  </si>
  <si>
    <t xml:space="preserve">Sprint 2</t>
  </si>
  <si>
    <t xml:space="preserve">WebSocket ou polling. Streaming de respostas. Mobile-first.</t>
  </si>
  <si>
    <t xml:space="preserve">Motor de extração DNA Brief (prompts + DB)</t>
  </si>
  <si>
    <t xml:space="preserve">Prompt chain em Claude. Estrutura JSON validada. Vector DB para memória.</t>
  </si>
  <si>
    <t xml:space="preserve">Confirmação e edição do DNA Brief</t>
  </si>
  <si>
    <t xml:space="preserve">12-18h</t>
  </si>
  <si>
    <t xml:space="preserve">UI de revisão inline. Histórico de versões do brief.</t>
  </si>
  <si>
    <t xml:space="preserve">18-25h</t>
  </si>
  <si>
    <t xml:space="preserve">OAuth Drive. Webhook para novos arquivos. Auto-categorização por IA.</t>
  </si>
  <si>
    <t xml:space="preserve">  GERAÇÃO DE CONTEÚDO</t>
  </si>
  <si>
    <t xml:space="preserve">Pipeline geração posts IA (texto)</t>
  </si>
  <si>
    <t xml:space="preserve">30-45h</t>
  </si>
  <si>
    <t xml:space="preserve">Sprint 3</t>
  </si>
  <si>
    <t xml:space="preserve">Prompt com DNA Brief + histórico. Retry automático. Fila de jobs.</t>
  </si>
  <si>
    <t xml:space="preserve">Revisão automática checklist (2ª IA pass)</t>
  </si>
  <si>
    <t xml:space="preserve">Validação palavras proibidas, caracteres, tom, repetição.</t>
  </si>
  <si>
    <t xml:space="preserve">Geração de artes IA (DALL-E / SD)</t>
  </si>
  <si>
    <t xml:space="preserve">Prompt de arte gerado pelo mesmo LLM. Fallback p/ template Canva.</t>
  </si>
  <si>
    <t xml:space="preserve">Calendário editorial (geração + view)</t>
  </si>
  <si>
    <t xml:space="preserve">Vista mensal drag-drop. Inserção manual pelo cliente via chat.</t>
  </si>
  <si>
    <t xml:space="preserve">  APROVAÇÃO + NPS</t>
  </si>
  <si>
    <t xml:space="preserve">Página de aprovação (link único JWT)</t>
  </si>
  <si>
    <t xml:space="preserve">Sprint 4</t>
  </si>
  <si>
    <t xml:space="preserve">Sem login. Preview real do post. Approve/Reject/Edit inline.</t>
  </si>
  <si>
    <t xml:space="preserve">Sistema de NPS pós-aprovação</t>
  </si>
  <si>
    <t xml:space="preserve">Modal simples 0-10 + texto. Processa e atualiza DNA Brief.</t>
  </si>
  <si>
    <t xml:space="preserve">Dashboard status tempo real (WebSocket)</t>
  </si>
  <si>
    <t xml:space="preserve">Supabase Realtime. Status: Gerado &gt; Enviado &gt; Aprovado &gt; Publicado.</t>
  </si>
  <si>
    <t xml:space="preserve">Sistema de lembretes (D+3, D+5, D+7)</t>
  </si>
  <si>
    <t xml:space="preserve">n8n scheduled. E-mail + fallback WhatsApp. Auto-aprovação D+7.</t>
  </si>
  <si>
    <t xml:space="preserve">  PUBLICAÇÃO</t>
  </si>
  <si>
    <t xml:space="preserve">Meta Graph API — publicação Insta+FB</t>
  </si>
  <si>
    <t xml:space="preserve">Sprint 5</t>
  </si>
  <si>
    <t xml:space="preserve">⚠ CRÍTICO: aprovação do app Meta leva 2–6 semanas. Iniciar IMEDIATO.</t>
  </si>
  <si>
    <t xml:space="preserve">Gerenc. tokens Meta (refresh automático)</t>
  </si>
  <si>
    <t xml:space="preserve">Detecta expiração 7 dias antes. Notifica cliente p/ reconectar.</t>
  </si>
  <si>
    <t xml:space="preserve">Fila de publicação + retry + logs</t>
  </si>
  <si>
    <t xml:space="preserve">Bull/Redis. 3 tentativas. Alerta interno se falhar tudo.</t>
  </si>
  <si>
    <t xml:space="preserve">  RELATÓRIO</t>
  </si>
  <si>
    <t xml:space="preserve">Relatório semanal — geração IA + e-mail</t>
  </si>
  <si>
    <t xml:space="preserve">Sprint 6</t>
  </si>
  <si>
    <t xml:space="preserve">Claude gera insights. Template HTML por e-mail. Resend para envio.</t>
  </si>
  <si>
    <t xml:space="preserve">Dashboard relatório no app (gráficos)</t>
  </si>
  <si>
    <t xml:space="preserve">Recharts ou Chart.js. Dados Meta API + Supabase.</t>
  </si>
  <si>
    <t xml:space="preserve">  AUTOMAÇÕES N8N</t>
  </si>
  <si>
    <t xml:space="preserve">10 fluxos n8n mapeados no Product Flow</t>
  </si>
  <si>
    <t xml:space="preserve">Sprint 5-6</t>
  </si>
  <si>
    <t xml:space="preserve">FLOW-01 a FLOW-10. Self-hosted no Railway. Webhook + scheduled.</t>
  </si>
  <si>
    <t xml:space="preserve">  PAGAMENTOS</t>
  </si>
  <si>
    <t xml:space="preserve">Stripe — setup fee + recorrência mensal</t>
  </si>
  <si>
    <t xml:space="preserve">Sprint 1-2</t>
  </si>
  <si>
    <t xml:space="preserve">Stripe Billing. Webhook de pagamento confirma ativação do cliente.</t>
  </si>
  <si>
    <t xml:space="preserve">  QA + LANÇAMENTO</t>
  </si>
  <si>
    <t xml:space="preserve">Testes E2E + QA + ajustes</t>
  </si>
  <si>
    <t xml:space="preserve">Sprint 7</t>
  </si>
  <si>
    <t xml:space="preserve">Playwright para E2E. Manual QA com 3 clientes beta. Buffer de ajuste.</t>
  </si>
  <si>
    <t xml:space="preserve">TOTAL GERAL</t>
  </si>
  <si>
    <t xml:space="preserve">Custo de Manutenção Mensal Detalhado — Até 15 Clientes</t>
  </si>
  <si>
    <t xml:space="preserve">Ferramenta / Item</t>
  </si>
  <si>
    <t xml:space="preserve">Custo fixo
/mês (R$)</t>
  </si>
  <si>
    <t xml:space="preserve">Custo var.
/cliente (R$)</t>
  </si>
  <si>
    <t xml:space="preserve">1 cliente</t>
  </si>
  <si>
    <t xml:space="preserve">Notas</t>
  </si>
  <si>
    <t xml:space="preserve">  INFRAESTRUTURA DE HOSPEDAGEM</t>
  </si>
  <si>
    <t xml:space="preserve">Vercel Pro</t>
  </si>
  <si>
    <t xml:space="preserve">Frontend, SSR, deploy automático. Inclui analytics básico.</t>
  </si>
  <si>
    <t xml:space="preserve">Supabase Pro</t>
  </si>
  <si>
    <t xml:space="preserve">DB Postgres + Auth + Realtime. 8GB storage, backups diários.</t>
  </si>
  <si>
    <t xml:space="preserve">Railway (n8n + jobs)</t>
  </si>
  <si>
    <t xml:space="preserve">2 containers: n8n + worker de jobs. 512MB RAM cada.</t>
  </si>
  <si>
    <t xml:space="preserve">Cloudflare (DNS+CDN)</t>
  </si>
  <si>
    <t xml:space="preserve">Plano gratuito suficiente para até 50 clientes.</t>
  </si>
  <si>
    <t xml:space="preserve">  INTELIGÊNCIA ARTIFICIAL</t>
  </si>
  <si>
    <t xml:space="preserve">Claude API — textos</t>
  </si>
  <si>
    <t xml:space="preserve">Sonnet 3.5: $3/M input + $15/M output. ~46k in + 8k out por cliente.</t>
  </si>
  <si>
    <t xml:space="preserve">DALL-E 3 — imagens</t>
  </si>
  <si>
    <t xml:space="preserve">$0.04/imagem HD. 15 imagens/mês por cliente.</t>
  </si>
  <si>
    <t xml:space="preserve">Embeddings (DNA update)</t>
  </si>
  <si>
    <t xml:space="preserve">Pequeno. Atualização do DNA Brief por aprovações.</t>
  </si>
  <si>
    <t xml:space="preserve">  COMUNICAÇÃO</t>
  </si>
  <si>
    <t xml:space="preserve">Resend — e-mails</t>
  </si>
  <si>
    <t xml:space="preserve">50k e-mails/mês. Aprox. 20 e-mails/cliente/mês. Suficiente até ~100 cli.</t>
  </si>
  <si>
    <t xml:space="preserve">  STORAGE</t>
  </si>
  <si>
    <t xml:space="preserve">Gratuito (15GB por workspace). Pasta compartilhada por cliente.</t>
  </si>
  <si>
    <t xml:space="preserve">S3/R2 — backup mídias</t>
  </si>
  <si>
    <t xml:space="preserve">Cloudflare R2: ~$0.015/GB/mês. Buffer para mídias processadas.</t>
  </si>
  <si>
    <t xml:space="preserve">  MONITORAMENTO</t>
  </si>
  <si>
    <t xml:space="preserve">Sentry — erros</t>
  </si>
  <si>
    <t xml:space="preserve">Free tier: 5k erros/mês. Suficiente para MVP.</t>
  </si>
  <si>
    <t xml:space="preserve">UptimeRobot</t>
  </si>
  <si>
    <t xml:space="preserve">Free tier: monitora 50 URLs a cada 5 min.</t>
  </si>
  <si>
    <t xml:space="preserve">  DESENVOLVIMENTO</t>
  </si>
  <si>
    <t xml:space="preserve">Dev manutenção (10h/mês)</t>
  </si>
  <si>
    <t xml:space="preserve">Freelancer R$120/h × 10h. Bugs, updates de API, melhorias menores.</t>
  </si>
  <si>
    <t xml:space="preserve">Buffer bugs críticos</t>
  </si>
  <si>
    <t xml:space="preserve">Reserva para emergências (API da Meta muda frequentemente).</t>
  </si>
  <si>
    <t xml:space="preserve">  VENDAS</t>
  </si>
  <si>
    <t xml:space="preserve">Vendedor (fixo)</t>
  </si>
  <si>
    <t xml:space="preserve">Fixo baixo. Comissão de 15% sobre setup paga separadamente.</t>
  </si>
  <si>
    <t xml:space="preserve">TOTAL CUSTO MENSAL</t>
  </si>
  <si>
    <t xml:space="preserve">📌  Receita necessária para cobrir todos os custos acima com 15 clientes:</t>
  </si>
  <si>
    <t xml:space="preserve">Com 15 clientes no plano Crescimento (R$497/mês): receita recorrente = R$7.455/mês. Custo total estimado = ~R$4.100/mês. Margem bruta ~= 45% (fase inicial com 15 clientes). A partir de 30 clientes, custos fixos diluem e margem vai para 70–80%.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</si>
</sst>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R$ &quot;#,##0;&quot;(R$ &quot;#,##0\);\-"/>
    <numFmt numFmtId="166" formatCode="0.0%;\(0.0%\);\-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4748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64748B"/>
      <name val="Arial"/>
      <family val="0"/>
      <charset val="1"/>
    </font>
    <font>
      <b val="true"/>
      <sz val="8"/>
      <color rgb="FF065F46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sz val="8"/>
      <color rgb="FF64748B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0"/>
      <color rgb="FF065F46"/>
      <name val="Arial"/>
      <family val="0"/>
      <charset val="1"/>
    </font>
    <font>
      <sz val="10"/>
      <color rgb="FF065F46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color rgb="FF334155"/>
      <name val="Arial"/>
      <family val="0"/>
      <charset val="1"/>
    </font>
    <font>
      <sz val="8.5"/>
      <color rgb="FF0A0A0A"/>
      <name val="Arial"/>
      <family val="0"/>
      <charset val="1"/>
    </font>
    <font>
      <sz val="8.5"/>
      <color rgb="FF0000FF"/>
      <name val="Arial"/>
      <family val="0"/>
      <charset val="1"/>
    </font>
    <font>
      <sz val="8.5"/>
      <color rgb="FF008000"/>
      <name val="Arial"/>
      <family val="0"/>
      <charset val="1"/>
    </font>
    <font>
      <i val="true"/>
      <sz val="7.5"/>
      <color rgb="FF64748B"/>
      <name val="Arial"/>
      <family val="0"/>
      <charset val="1"/>
    </font>
    <font>
      <b val="true"/>
      <i val="true"/>
      <sz val="7.5"/>
      <color rgb="FF991B1B"/>
      <name val="Arial"/>
      <family val="0"/>
      <charset val="1"/>
    </font>
    <font>
      <b val="true"/>
      <sz val="8.5"/>
      <color rgb="FF334155"/>
      <name val="Arial"/>
      <family val="0"/>
      <charset val="1"/>
    </font>
    <font>
      <sz val="8.5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0A0A0A"/>
      <name val="Arial"/>
      <family val="0"/>
      <charset val="1"/>
    </font>
    <font>
      <i val="true"/>
      <sz val="8.5"/>
      <color rgb="FF64748B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0A0A0A"/>
        <bgColor rgb="FF000000"/>
      </patternFill>
    </fill>
    <fill>
      <patternFill patternType="solid">
        <fgColor rgb="FFFAF7F4"/>
        <bgColor rgb="FFF8FAFC"/>
      </patternFill>
    </fill>
    <fill>
      <patternFill patternType="solid">
        <fgColor rgb="FFE63946"/>
        <bgColor rgb="FF993366"/>
      </patternFill>
    </fill>
    <fill>
      <patternFill patternType="solid">
        <fgColor rgb="FF64748B"/>
        <bgColor rgb="FF808080"/>
      </patternFill>
    </fill>
    <fill>
      <patternFill patternType="solid">
        <fgColor rgb="FFF8FAFC"/>
        <bgColor rgb="FFFAF7F4"/>
      </patternFill>
    </fill>
    <fill>
      <patternFill patternType="solid">
        <fgColor rgb="FFFFFFFF"/>
        <bgColor rgb="FFF8FAFC"/>
      </patternFill>
    </fill>
    <fill>
      <patternFill patternType="solid">
        <fgColor rgb="FFFFFF00"/>
        <bgColor rgb="FFFFFF00"/>
      </patternFill>
    </fill>
    <fill>
      <patternFill patternType="solid">
        <fgColor rgb="FFFFF9C4"/>
        <bgColor rgb="FFFAF7F4"/>
      </patternFill>
    </fill>
    <fill>
      <patternFill patternType="solid">
        <fgColor rgb="FF6366F1"/>
        <bgColor rgb="FF64748B"/>
      </patternFill>
    </fill>
    <fill>
      <patternFill patternType="solid">
        <fgColor rgb="FF10B981"/>
        <bgColor rgb="FF0D9488"/>
      </patternFill>
    </fill>
    <fill>
      <patternFill patternType="solid">
        <fgColor rgb="FFDCFCE7"/>
        <bgColor rgb="FFF0FDF4"/>
      </patternFill>
    </fill>
    <fill>
      <patternFill patternType="solid">
        <fgColor rgb="FFF0FDF4"/>
        <bgColor rgb="FFF8FAFC"/>
      </patternFill>
    </fill>
    <fill>
      <patternFill patternType="solid">
        <fgColor rgb="FF334155"/>
        <bgColor rgb="FF1E3A8A"/>
      </patternFill>
    </fill>
    <fill>
      <patternFill patternType="solid">
        <fgColor rgb="FF1E3A8A"/>
        <bgColor rgb="FF003366"/>
      </patternFill>
    </fill>
    <fill>
      <patternFill patternType="solid">
        <fgColor rgb="FF065F46"/>
        <bgColor rgb="FF334155"/>
      </patternFill>
    </fill>
    <fill>
      <patternFill patternType="solid">
        <fgColor rgb="FFE2E8F0"/>
        <bgColor rgb="FFDCFCE7"/>
      </patternFill>
    </fill>
    <fill>
      <patternFill patternType="solid">
        <fgColor rgb="FFFEE2E2"/>
        <bgColor rgb="FFE2E8F0"/>
      </patternFill>
    </fill>
    <fill>
      <patternFill patternType="solid">
        <fgColor rgb="FF0D9488"/>
        <bgColor rgb="FF10B98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/>
      <top style="thin">
        <color rgb="FFE2E8F0"/>
      </top>
      <bottom style="thin">
        <color rgb="FFE2E8F0"/>
      </bottom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6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8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2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3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2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3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1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8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1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8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9488"/>
      <rgbColor rgb="FFC0C0C0"/>
      <rgbColor rgb="FF808080"/>
      <rgbColor rgb="FF9999FF"/>
      <rgbColor rgb="FFE63946"/>
      <rgbColor rgb="FFFFF9C4"/>
      <rgbColor rgb="FFDCFCE7"/>
      <rgbColor rgb="FF660066"/>
      <rgbColor rgb="FFFF8080"/>
      <rgbColor rgb="FF0066CC"/>
      <rgbColor rgb="FFF8FAFC"/>
      <rgbColor rgb="FF000080"/>
      <rgbColor rgb="FFFF00FF"/>
      <rgbColor rgb="FFFFFF00"/>
      <rgbColor rgb="FF00FFFF"/>
      <rgbColor rgb="FF800080"/>
      <rgbColor rgb="FF800000"/>
      <rgbColor rgb="FF065F46"/>
      <rgbColor rgb="FF0000FF"/>
      <rgbColor rgb="FF00CCFF"/>
      <rgbColor rgb="FFF0FDF4"/>
      <rgbColor rgb="FFE2E8F0"/>
      <rgbColor rgb="FFFAF7F4"/>
      <rgbColor rgb="FF99CCFF"/>
      <rgbColor rgb="FFFF99CC"/>
      <rgbColor rgb="FFCC99FF"/>
      <rgbColor rgb="FFFEE2E2"/>
      <rgbColor rgb="FF6366F1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10B981"/>
      <rgbColor rgb="FF0A0A0A"/>
      <rgbColor rgb="FF333300"/>
      <rgbColor rgb="FF991B1B"/>
      <rgbColor rgb="FF993366"/>
      <rgbColor rgb="FF1E3A8A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8" min="2" style="0" width="18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1.7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27.75" hidden="false" customHeight="true" outlineLevel="0" collapsed="false">
      <c r="A5" s="4" t="s">
        <v>3</v>
      </c>
      <c r="B5" s="5" t="s">
        <v>4</v>
      </c>
      <c r="C5" s="5" t="s">
        <v>5</v>
      </c>
      <c r="D5" s="5" t="s">
        <v>6</v>
      </c>
      <c r="E5" s="4" t="s">
        <v>7</v>
      </c>
      <c r="F5" s="4" t="s">
        <v>8</v>
      </c>
    </row>
    <row r="6" customFormat="false" ht="15.75" hidden="false" customHeight="true" outlineLevel="0" collapsed="false">
      <c r="A6" s="6" t="s">
        <v>9</v>
      </c>
      <c r="B6" s="7" t="n">
        <v>8000</v>
      </c>
      <c r="C6" s="7" t="n">
        <v>14000</v>
      </c>
      <c r="D6" s="7" t="n">
        <v>4500</v>
      </c>
      <c r="E6" s="8" t="s">
        <v>10</v>
      </c>
      <c r="F6" s="9" t="s">
        <v>11</v>
      </c>
    </row>
    <row r="7" customFormat="false" ht="15.75" hidden="false" customHeight="true" outlineLevel="0" collapsed="false">
      <c r="A7" s="10" t="s">
        <v>12</v>
      </c>
      <c r="B7" s="11" t="n">
        <v>4000</v>
      </c>
      <c r="C7" s="11" t="n">
        <v>7000</v>
      </c>
      <c r="D7" s="11" t="n">
        <v>2000</v>
      </c>
      <c r="E7" s="12" t="s">
        <v>13</v>
      </c>
      <c r="F7" s="13" t="s">
        <v>11</v>
      </c>
    </row>
    <row r="8" customFormat="false" ht="15.75" hidden="false" customHeight="true" outlineLevel="0" collapsed="false">
      <c r="A8" s="6" t="s">
        <v>14</v>
      </c>
      <c r="B8" s="7" t="n">
        <v>3000</v>
      </c>
      <c r="C8" s="7" t="n">
        <v>5000</v>
      </c>
      <c r="D8" s="7" t="n">
        <v>1500</v>
      </c>
      <c r="E8" s="8" t="s">
        <v>15</v>
      </c>
      <c r="F8" s="9" t="s">
        <v>11</v>
      </c>
    </row>
    <row r="9" customFormat="false" ht="15.75" hidden="false" customHeight="true" outlineLevel="0" collapsed="false">
      <c r="A9" s="10" t="s">
        <v>16</v>
      </c>
      <c r="B9" s="11" t="n">
        <v>12000</v>
      </c>
      <c r="C9" s="11" t="n">
        <v>20000</v>
      </c>
      <c r="D9" s="11" t="n">
        <v>6000</v>
      </c>
      <c r="E9" s="12" t="s">
        <v>17</v>
      </c>
      <c r="F9" s="13" t="s">
        <v>11</v>
      </c>
    </row>
    <row r="10" customFormat="false" ht="15.75" hidden="false" customHeight="true" outlineLevel="0" collapsed="false">
      <c r="A10" s="6" t="s">
        <v>18</v>
      </c>
      <c r="B10" s="7" t="n">
        <v>4000</v>
      </c>
      <c r="C10" s="7" t="n">
        <v>7000</v>
      </c>
      <c r="D10" s="7" t="n">
        <v>2000</v>
      </c>
      <c r="E10" s="8" t="s">
        <v>13</v>
      </c>
      <c r="F10" s="9" t="s">
        <v>11</v>
      </c>
    </row>
    <row r="11" customFormat="false" ht="15.75" hidden="false" customHeight="true" outlineLevel="0" collapsed="false">
      <c r="A11" s="10" t="s">
        <v>19</v>
      </c>
      <c r="B11" s="11" t="n">
        <v>5000</v>
      </c>
      <c r="C11" s="11" t="n">
        <v>9000</v>
      </c>
      <c r="D11" s="11" t="n">
        <v>2500</v>
      </c>
      <c r="E11" s="12" t="s">
        <v>20</v>
      </c>
      <c r="F11" s="13" t="s">
        <v>11</v>
      </c>
    </row>
    <row r="12" customFormat="false" ht="15.75" hidden="false" customHeight="true" outlineLevel="0" collapsed="false">
      <c r="A12" s="6" t="s">
        <v>21</v>
      </c>
      <c r="B12" s="7" t="n">
        <v>6000</v>
      </c>
      <c r="C12" s="7" t="n">
        <v>10000</v>
      </c>
      <c r="D12" s="7" t="n">
        <v>3000</v>
      </c>
      <c r="E12" s="8" t="s">
        <v>22</v>
      </c>
      <c r="F12" s="9" t="s">
        <v>11</v>
      </c>
    </row>
    <row r="13" customFormat="false" ht="15.75" hidden="false" customHeight="true" outlineLevel="0" collapsed="false">
      <c r="A13" s="10" t="s">
        <v>23</v>
      </c>
      <c r="B13" s="11" t="n">
        <v>7000</v>
      </c>
      <c r="C13" s="11" t="n">
        <v>12000</v>
      </c>
      <c r="D13" s="11" t="n">
        <v>3500</v>
      </c>
      <c r="E13" s="12" t="s">
        <v>24</v>
      </c>
      <c r="F13" s="13" t="s">
        <v>11</v>
      </c>
    </row>
    <row r="14" customFormat="false" ht="15.75" hidden="false" customHeight="true" outlineLevel="0" collapsed="false">
      <c r="A14" s="6" t="s">
        <v>25</v>
      </c>
      <c r="B14" s="7" t="n">
        <v>3000</v>
      </c>
      <c r="C14" s="7" t="n">
        <v>5000</v>
      </c>
      <c r="D14" s="7" t="n">
        <v>1500</v>
      </c>
      <c r="E14" s="8" t="s">
        <v>26</v>
      </c>
      <c r="F14" s="9" t="s">
        <v>11</v>
      </c>
    </row>
    <row r="15" customFormat="false" ht="15.75" hidden="false" customHeight="true" outlineLevel="0" collapsed="false">
      <c r="A15" s="10" t="s">
        <v>27</v>
      </c>
      <c r="B15" s="11" t="n">
        <v>8000</v>
      </c>
      <c r="C15" s="11" t="n">
        <v>14000</v>
      </c>
      <c r="D15" s="11" t="n">
        <v>4000</v>
      </c>
      <c r="E15" s="12" t="s">
        <v>10</v>
      </c>
      <c r="F15" s="13" t="s">
        <v>11</v>
      </c>
    </row>
    <row r="16" customFormat="false" ht="15.75" hidden="false" customHeight="true" outlineLevel="0" collapsed="false">
      <c r="A16" s="6" t="s">
        <v>28</v>
      </c>
      <c r="B16" s="7" t="n">
        <v>10000</v>
      </c>
      <c r="C16" s="7" t="n">
        <v>17000</v>
      </c>
      <c r="D16" s="7" t="n">
        <v>5000</v>
      </c>
      <c r="E16" s="8" t="s">
        <v>29</v>
      </c>
      <c r="F16" s="9" t="s">
        <v>11</v>
      </c>
    </row>
    <row r="17" customFormat="false" ht="15.75" hidden="false" customHeight="true" outlineLevel="0" collapsed="false">
      <c r="A17" s="10" t="s">
        <v>30</v>
      </c>
      <c r="B17" s="11" t="n">
        <v>6000</v>
      </c>
      <c r="C17" s="11" t="n">
        <v>10000</v>
      </c>
      <c r="D17" s="11" t="n">
        <v>3000</v>
      </c>
      <c r="E17" s="12" t="s">
        <v>22</v>
      </c>
      <c r="F17" s="13" t="s">
        <v>11</v>
      </c>
    </row>
    <row r="18" customFormat="false" ht="15.75" hidden="false" customHeight="true" outlineLevel="0" collapsed="false">
      <c r="A18" s="6" t="s">
        <v>31</v>
      </c>
      <c r="B18" s="7" t="n">
        <v>8000</v>
      </c>
      <c r="C18" s="7" t="n">
        <v>14000</v>
      </c>
      <c r="D18" s="7" t="n">
        <v>4000</v>
      </c>
      <c r="E18" s="8" t="s">
        <v>10</v>
      </c>
      <c r="F18" s="9" t="s">
        <v>11</v>
      </c>
    </row>
    <row r="19" customFormat="false" ht="15.75" hidden="false" customHeight="true" outlineLevel="0" collapsed="false">
      <c r="A19" s="10" t="s">
        <v>32</v>
      </c>
      <c r="B19" s="11" t="n">
        <v>7000</v>
      </c>
      <c r="C19" s="11" t="n">
        <v>12000</v>
      </c>
      <c r="D19" s="11" t="n">
        <v>3500</v>
      </c>
      <c r="E19" s="12" t="s">
        <v>33</v>
      </c>
      <c r="F19" s="13" t="s">
        <v>11</v>
      </c>
    </row>
    <row r="20" customFormat="false" ht="15.75" hidden="false" customHeight="true" outlineLevel="0" collapsed="false">
      <c r="A20" s="6" t="s">
        <v>34</v>
      </c>
      <c r="B20" s="7" t="n">
        <v>3000</v>
      </c>
      <c r="C20" s="7" t="n">
        <v>5000</v>
      </c>
      <c r="D20" s="7" t="n">
        <v>1500</v>
      </c>
      <c r="E20" s="8" t="s">
        <v>26</v>
      </c>
      <c r="F20" s="9" t="s">
        <v>11</v>
      </c>
    </row>
    <row r="21" customFormat="false" ht="15.75" hidden="false" customHeight="true" outlineLevel="0" collapsed="false">
      <c r="A21" s="10" t="s">
        <v>35</v>
      </c>
      <c r="B21" s="11" t="n">
        <v>8000</v>
      </c>
      <c r="C21" s="11" t="n">
        <v>14000</v>
      </c>
      <c r="D21" s="11" t="n">
        <v>4000</v>
      </c>
      <c r="E21" s="12" t="s">
        <v>10</v>
      </c>
      <c r="F21" s="13" t="s">
        <v>11</v>
      </c>
    </row>
    <row r="22" customFormat="false" ht="21.75" hidden="false" customHeight="true" outlineLevel="0" collapsed="false">
      <c r="A22" s="14" t="s">
        <v>36</v>
      </c>
      <c r="B22" s="15" t="n">
        <f aca="false">SUM(B6:B21)</f>
        <v>102000</v>
      </c>
      <c r="C22" s="15" t="n">
        <f aca="false">SUM(C6:C21)</f>
        <v>175000</v>
      </c>
      <c r="D22" s="15" t="n">
        <f aca="false">SUM(D6:D21)</f>
        <v>51500</v>
      </c>
      <c r="E22" s="16" t="s">
        <v>37</v>
      </c>
      <c r="F22" s="16" t="s">
        <v>38</v>
      </c>
    </row>
    <row r="23" customFormat="false" ht="27.75" hidden="false" customHeight="true" outlineLevel="0" collapsed="false">
      <c r="A23" s="17" t="s">
        <v>39</v>
      </c>
      <c r="B23" s="17"/>
      <c r="C23" s="17"/>
      <c r="D23" s="17"/>
      <c r="E23" s="17"/>
      <c r="F23" s="17"/>
      <c r="G23" s="17"/>
      <c r="H23" s="17"/>
    </row>
    <row r="25" customFormat="false" ht="21.75" hidden="false" customHeight="true" outlineLevel="0" collapsed="false">
      <c r="A25" s="18" t="s">
        <v>40</v>
      </c>
      <c r="B25" s="18"/>
      <c r="C25" s="18"/>
      <c r="D25" s="18"/>
      <c r="E25" s="18"/>
      <c r="F25" s="18"/>
      <c r="G25" s="18"/>
      <c r="H25" s="18"/>
    </row>
    <row r="26" customFormat="false" ht="27.75" hidden="false" customHeight="true" outlineLevel="0" collapsed="false">
      <c r="A26" s="4" t="s">
        <v>41</v>
      </c>
      <c r="B26" s="4" t="s">
        <v>42</v>
      </c>
      <c r="C26" s="5" t="s">
        <v>43</v>
      </c>
      <c r="D26" s="5" t="s">
        <v>44</v>
      </c>
      <c r="E26" s="4" t="s">
        <v>45</v>
      </c>
      <c r="F26" s="4" t="s">
        <v>46</v>
      </c>
      <c r="G26" s="4" t="s">
        <v>47</v>
      </c>
      <c r="H26" s="4" t="s">
        <v>48</v>
      </c>
    </row>
    <row r="27" customFormat="false" ht="15.75" hidden="false" customHeight="true" outlineLevel="0" collapsed="false">
      <c r="A27" s="19" t="s">
        <v>49</v>
      </c>
      <c r="B27" s="20" t="s">
        <v>50</v>
      </c>
      <c r="C27" s="7" t="n">
        <v>89</v>
      </c>
      <c r="D27" s="21"/>
      <c r="E27" s="22" t="n">
        <f aca="false">IFERROR(C27,0)+IFERROR(D27,0)*5</f>
        <v>89</v>
      </c>
      <c r="F27" s="22" t="n">
        <f aca="false">IFERROR(C27,0)+IFERROR(D27,0)*10</f>
        <v>89</v>
      </c>
      <c r="G27" s="22" t="n">
        <f aca="false">IFERROR(C27,0)+IFERROR(D27,0)*15</f>
        <v>89</v>
      </c>
      <c r="H27" s="23" t="s">
        <v>51</v>
      </c>
    </row>
    <row r="28" customFormat="false" ht="15.75" hidden="false" customHeight="true" outlineLevel="0" collapsed="false">
      <c r="A28" s="24" t="s">
        <v>52</v>
      </c>
      <c r="B28" s="25" t="s">
        <v>50</v>
      </c>
      <c r="C28" s="11" t="n">
        <v>100</v>
      </c>
      <c r="D28" s="26"/>
      <c r="E28" s="27" t="n">
        <f aca="false">IFERROR(C28,0)+IFERROR(D28,0)*5</f>
        <v>100</v>
      </c>
      <c r="F28" s="27" t="n">
        <f aca="false">IFERROR(C28,0)+IFERROR(D28,0)*10</f>
        <v>100</v>
      </c>
      <c r="G28" s="27" t="n">
        <f aca="false">IFERROR(C28,0)+IFERROR(D28,0)*15</f>
        <v>100</v>
      </c>
      <c r="H28" s="28" t="s">
        <v>53</v>
      </c>
    </row>
    <row r="29" customFormat="false" ht="15.75" hidden="false" customHeight="true" outlineLevel="0" collapsed="false">
      <c r="A29" s="19" t="s">
        <v>54</v>
      </c>
      <c r="B29" s="20" t="s">
        <v>50</v>
      </c>
      <c r="C29" s="7" t="n">
        <v>80</v>
      </c>
      <c r="D29" s="21"/>
      <c r="E29" s="22" t="n">
        <f aca="false">IFERROR(C29,0)+IFERROR(D29,0)*5</f>
        <v>80</v>
      </c>
      <c r="F29" s="22" t="n">
        <f aca="false">IFERROR(C29,0)+IFERROR(D29,0)*10</f>
        <v>80</v>
      </c>
      <c r="G29" s="22" t="n">
        <f aca="false">IFERROR(C29,0)+IFERROR(D29,0)*15</f>
        <v>80</v>
      </c>
      <c r="H29" s="23" t="s">
        <v>55</v>
      </c>
    </row>
    <row r="30" customFormat="false" ht="15.75" hidden="false" customHeight="true" outlineLevel="0" collapsed="false">
      <c r="A30" s="24" t="s">
        <v>56</v>
      </c>
      <c r="B30" s="25" t="s">
        <v>50</v>
      </c>
      <c r="C30" s="11" t="n">
        <v>45</v>
      </c>
      <c r="D30" s="26"/>
      <c r="E30" s="27" t="n">
        <f aca="false">IFERROR(C30,0)+IFERROR(D30,0)*5</f>
        <v>45</v>
      </c>
      <c r="F30" s="27" t="n">
        <f aca="false">IFERROR(C30,0)+IFERROR(D30,0)*10</f>
        <v>45</v>
      </c>
      <c r="G30" s="27" t="n">
        <f aca="false">IFERROR(C30,0)+IFERROR(D30,0)*15</f>
        <v>45</v>
      </c>
      <c r="H30" s="28" t="s">
        <v>57</v>
      </c>
    </row>
    <row r="31" customFormat="false" ht="15.75" hidden="false" customHeight="true" outlineLevel="0" collapsed="false">
      <c r="A31" s="19" t="s">
        <v>58</v>
      </c>
      <c r="B31" s="20" t="s">
        <v>50</v>
      </c>
      <c r="C31" s="7" t="n">
        <v>10</v>
      </c>
      <c r="D31" s="21"/>
      <c r="E31" s="22" t="n">
        <f aca="false">IFERROR(C31,0)+IFERROR(D31,0)*5</f>
        <v>10</v>
      </c>
      <c r="F31" s="22" t="n">
        <f aca="false">IFERROR(C31,0)+IFERROR(D31,0)*10</f>
        <v>10</v>
      </c>
      <c r="G31" s="22" t="n">
        <f aca="false">IFERROR(C31,0)+IFERROR(D31,0)*15</f>
        <v>10</v>
      </c>
      <c r="H31" s="23" t="s">
        <v>59</v>
      </c>
    </row>
    <row r="32" customFormat="false" ht="15.75" hidden="false" customHeight="true" outlineLevel="0" collapsed="false">
      <c r="A32" s="24" t="s">
        <v>60</v>
      </c>
      <c r="B32" s="25" t="s">
        <v>61</v>
      </c>
      <c r="C32" s="26"/>
      <c r="D32" s="11" t="n">
        <v>8</v>
      </c>
      <c r="E32" s="27" t="n">
        <f aca="false">IFERROR(C32,0)+IFERROR(D32,0)*5</f>
        <v>40</v>
      </c>
      <c r="F32" s="27" t="n">
        <f aca="false">IFERROR(C32,0)+IFERROR(D32,0)*10</f>
        <v>80</v>
      </c>
      <c r="G32" s="27" t="n">
        <f aca="false">IFERROR(C32,0)+IFERROR(D32,0)*15</f>
        <v>120</v>
      </c>
      <c r="H32" s="28" t="s">
        <v>62</v>
      </c>
    </row>
    <row r="33" customFormat="false" ht="15.75" hidden="false" customHeight="true" outlineLevel="0" collapsed="false">
      <c r="A33" s="19" t="s">
        <v>63</v>
      </c>
      <c r="B33" s="20" t="s">
        <v>61</v>
      </c>
      <c r="C33" s="21"/>
      <c r="D33" s="7" t="n">
        <v>12</v>
      </c>
      <c r="E33" s="22" t="n">
        <f aca="false">IFERROR(C33,0)+IFERROR(D33,0)*5</f>
        <v>60</v>
      </c>
      <c r="F33" s="22" t="n">
        <f aca="false">IFERROR(C33,0)+IFERROR(D33,0)*10</f>
        <v>120</v>
      </c>
      <c r="G33" s="22" t="n">
        <f aca="false">IFERROR(C33,0)+IFERROR(D33,0)*15</f>
        <v>180</v>
      </c>
      <c r="H33" s="23" t="s">
        <v>64</v>
      </c>
    </row>
    <row r="34" customFormat="false" ht="15.75" hidden="false" customHeight="true" outlineLevel="0" collapsed="false">
      <c r="A34" s="24" t="s">
        <v>65</v>
      </c>
      <c r="B34" s="25" t="s">
        <v>50</v>
      </c>
      <c r="C34" s="26"/>
      <c r="D34" s="26"/>
      <c r="E34" s="27" t="n">
        <f aca="false">IFERROR(C34,0)+IFERROR(D34,0)*5</f>
        <v>0</v>
      </c>
      <c r="F34" s="27" t="n">
        <f aca="false">IFERROR(C34,0)+IFERROR(D34,0)*10</f>
        <v>0</v>
      </c>
      <c r="G34" s="27" t="n">
        <f aca="false">IFERROR(C34,0)+IFERROR(D34,0)*15</f>
        <v>0</v>
      </c>
      <c r="H34" s="28" t="s">
        <v>66</v>
      </c>
    </row>
    <row r="35" customFormat="false" ht="15.75" hidden="false" customHeight="true" outlineLevel="0" collapsed="false">
      <c r="A35" s="19" t="s">
        <v>67</v>
      </c>
      <c r="B35" s="20" t="s">
        <v>50</v>
      </c>
      <c r="C35" s="21"/>
      <c r="D35" s="21"/>
      <c r="E35" s="22" t="n">
        <f aca="false">IFERROR(C35,0)+IFERROR(D35,0)*5</f>
        <v>0</v>
      </c>
      <c r="F35" s="22" t="n">
        <f aca="false">IFERROR(C35,0)+IFERROR(D35,0)*10</f>
        <v>0</v>
      </c>
      <c r="G35" s="22" t="n">
        <f aca="false">IFERROR(C35,0)+IFERROR(D35,0)*15</f>
        <v>0</v>
      </c>
      <c r="H35" s="23" t="s">
        <v>68</v>
      </c>
    </row>
    <row r="36" customFormat="false" ht="15.75" hidden="false" customHeight="true" outlineLevel="0" collapsed="false">
      <c r="A36" s="24" t="s">
        <v>69</v>
      </c>
      <c r="B36" s="25" t="s">
        <v>50</v>
      </c>
      <c r="C36" s="11" t="n">
        <v>30</v>
      </c>
      <c r="D36" s="26"/>
      <c r="E36" s="27" t="n">
        <f aca="false">IFERROR(C36,0)+IFERROR(D36,0)*5</f>
        <v>30</v>
      </c>
      <c r="F36" s="27" t="n">
        <f aca="false">IFERROR(C36,0)+IFERROR(D36,0)*10</f>
        <v>30</v>
      </c>
      <c r="G36" s="27" t="n">
        <f aca="false">IFERROR(C36,0)+IFERROR(D36,0)*15</f>
        <v>30</v>
      </c>
      <c r="H36" s="28" t="s">
        <v>70</v>
      </c>
    </row>
    <row r="37" customFormat="false" ht="15.75" hidden="false" customHeight="true" outlineLevel="0" collapsed="false">
      <c r="A37" s="19" t="s">
        <v>71</v>
      </c>
      <c r="B37" s="20" t="s">
        <v>50</v>
      </c>
      <c r="C37" s="7" t="n">
        <v>1200</v>
      </c>
      <c r="D37" s="21"/>
      <c r="E37" s="22" t="n">
        <f aca="false">IFERROR(C37,0)+IFERROR(D37,0)*5</f>
        <v>1200</v>
      </c>
      <c r="F37" s="22" t="n">
        <f aca="false">IFERROR(C37,0)+IFERROR(D37,0)*10</f>
        <v>1200</v>
      </c>
      <c r="G37" s="22" t="n">
        <f aca="false">IFERROR(C37,0)+IFERROR(D37,0)*15</f>
        <v>1200</v>
      </c>
      <c r="H37" s="23" t="s">
        <v>72</v>
      </c>
    </row>
    <row r="38" customFormat="false" ht="15.75" hidden="false" customHeight="true" outlineLevel="0" collapsed="false">
      <c r="A38" s="24" t="s">
        <v>73</v>
      </c>
      <c r="B38" s="25" t="s">
        <v>50</v>
      </c>
      <c r="C38" s="11" t="n">
        <v>20</v>
      </c>
      <c r="D38" s="26"/>
      <c r="E38" s="27" t="n">
        <f aca="false">IFERROR(C38,0)+IFERROR(D38,0)*5</f>
        <v>20</v>
      </c>
      <c r="F38" s="27" t="n">
        <f aca="false">IFERROR(C38,0)+IFERROR(D38,0)*10</f>
        <v>20</v>
      </c>
      <c r="G38" s="27" t="n">
        <f aca="false">IFERROR(C38,0)+IFERROR(D38,0)*15</f>
        <v>20</v>
      </c>
      <c r="H38" s="28" t="s">
        <v>74</v>
      </c>
    </row>
    <row r="39" customFormat="false" ht="19.5" hidden="false" customHeight="true" outlineLevel="0" collapsed="false">
      <c r="A39" s="14" t="s">
        <v>75</v>
      </c>
      <c r="B39" s="29"/>
      <c r="C39" s="15" t="n">
        <f aca="false">SUM(C27:C38)</f>
        <v>1574</v>
      </c>
      <c r="D39" s="15" t="n">
        <f aca="false">SUM(D27:D38)</f>
        <v>20</v>
      </c>
      <c r="E39" s="15" t="n">
        <f aca="false">SUM(E27:E38)</f>
        <v>1674</v>
      </c>
      <c r="F39" s="15" t="n">
        <f aca="false">SUM(F27:F38)</f>
        <v>1774</v>
      </c>
      <c r="G39" s="15" t="n">
        <f aca="false">SUM(G27:G38)</f>
        <v>1874</v>
      </c>
      <c r="H39" s="30" t="s">
        <v>76</v>
      </c>
    </row>
    <row r="40" customFormat="false" ht="15.75" hidden="false" customHeight="true" outlineLevel="0" collapsed="false">
      <c r="A40" s="19" t="s">
        <v>77</v>
      </c>
      <c r="B40" s="20" t="s">
        <v>78</v>
      </c>
      <c r="C40" s="7" t="n">
        <v>1500</v>
      </c>
      <c r="D40" s="21"/>
      <c r="E40" s="22" t="n">
        <f aca="false">C40</f>
        <v>1500</v>
      </c>
      <c r="F40" s="22" t="n">
        <f aca="false">C40</f>
        <v>1500</v>
      </c>
      <c r="G40" s="22" t="n">
        <f aca="false">C40</f>
        <v>1500</v>
      </c>
      <c r="H40" s="31" t="s">
        <v>79</v>
      </c>
    </row>
    <row r="41" customFormat="false" ht="21.75" hidden="false" customHeight="true" outlineLevel="0" collapsed="false">
      <c r="A41" s="32" t="s">
        <v>80</v>
      </c>
      <c r="B41" s="33"/>
      <c r="C41" s="34" t="n">
        <f aca="false">C39+C40</f>
        <v>3074</v>
      </c>
      <c r="D41" s="34" t="n">
        <f aca="false">D39+D40</f>
        <v>20</v>
      </c>
      <c r="E41" s="34" t="n">
        <f aca="false">E39+E40</f>
        <v>3174</v>
      </c>
      <c r="F41" s="34" t="n">
        <f aca="false">F39+F40</f>
        <v>3274</v>
      </c>
      <c r="G41" s="34" t="n">
        <f aca="false">G39+G40</f>
        <v>3374</v>
      </c>
      <c r="H41" s="33"/>
    </row>
    <row r="43" customFormat="false" ht="21.75" hidden="false" customHeight="true" outlineLevel="0" collapsed="false">
      <c r="A43" s="35" t="s">
        <v>81</v>
      </c>
      <c r="B43" s="35"/>
      <c r="C43" s="35"/>
      <c r="D43" s="35"/>
      <c r="E43" s="35"/>
      <c r="F43" s="35"/>
      <c r="G43" s="35"/>
      <c r="H43" s="35"/>
    </row>
    <row r="44" customFormat="false" ht="27.75" hidden="false" customHeight="true" outlineLevel="0" collapsed="false">
      <c r="A44" s="4" t="s">
        <v>82</v>
      </c>
      <c r="B44" s="4" t="s">
        <v>83</v>
      </c>
      <c r="C44" s="4"/>
      <c r="D44" s="4"/>
      <c r="E44" s="4" t="s">
        <v>84</v>
      </c>
      <c r="F44" s="4" t="s">
        <v>85</v>
      </c>
      <c r="G44" s="4" t="s">
        <v>86</v>
      </c>
      <c r="H44" s="4" t="s">
        <v>48</v>
      </c>
    </row>
    <row r="45" customFormat="false" ht="15.75" hidden="false" customHeight="true" outlineLevel="0" collapsed="false">
      <c r="A45" s="19" t="s">
        <v>87</v>
      </c>
      <c r="B45" s="7" t="n">
        <v>497</v>
      </c>
      <c r="C45" s="36"/>
      <c r="D45" s="36"/>
      <c r="E45" s="36"/>
      <c r="F45" s="36"/>
      <c r="G45" s="36"/>
      <c r="H45" s="23" t="s">
        <v>88</v>
      </c>
    </row>
    <row r="46" customFormat="false" ht="15.75" hidden="false" customHeight="true" outlineLevel="0" collapsed="false">
      <c r="A46" s="24" t="s">
        <v>89</v>
      </c>
      <c r="B46" s="11" t="n">
        <v>997</v>
      </c>
      <c r="C46" s="37"/>
      <c r="D46" s="37"/>
      <c r="E46" s="37"/>
      <c r="F46" s="37"/>
      <c r="G46" s="37"/>
      <c r="H46" s="28" t="s">
        <v>90</v>
      </c>
    </row>
    <row r="47" customFormat="false" ht="15.75" hidden="false" customHeight="true" outlineLevel="0" collapsed="false">
      <c r="A47" s="19" t="s">
        <v>91</v>
      </c>
      <c r="B47" s="7" t="n">
        <v>2</v>
      </c>
      <c r="C47" s="36"/>
      <c r="D47" s="36"/>
      <c r="E47" s="36"/>
      <c r="F47" s="36"/>
      <c r="G47" s="36"/>
      <c r="H47" s="23" t="s">
        <v>92</v>
      </c>
    </row>
    <row r="48" customFormat="false" ht="15.75" hidden="false" customHeight="true" outlineLevel="0" collapsed="false">
      <c r="A48" s="24" t="s">
        <v>93</v>
      </c>
      <c r="B48" s="38" t="n">
        <v>0.03</v>
      </c>
      <c r="C48" s="37"/>
      <c r="D48" s="37"/>
      <c r="E48" s="37"/>
      <c r="F48" s="37"/>
      <c r="G48" s="37"/>
      <c r="H48" s="28" t="s">
        <v>94</v>
      </c>
    </row>
    <row r="49" customFormat="false" ht="15.75" hidden="false" customHeight="true" outlineLevel="0" collapsed="false">
      <c r="A49" s="39" t="s">
        <v>95</v>
      </c>
      <c r="B49" s="40"/>
      <c r="C49" s="40"/>
      <c r="D49" s="40"/>
      <c r="E49" s="41" t="n">
        <f aca="false">B45*5</f>
        <v>2485</v>
      </c>
      <c r="F49" s="41" t="n">
        <f aca="false">B45*10</f>
        <v>4970</v>
      </c>
      <c r="G49" s="41" t="n">
        <f aca="false">B45*15</f>
        <v>7455</v>
      </c>
      <c r="H49" s="31" t="s">
        <v>96</v>
      </c>
    </row>
    <row r="50" customFormat="false" ht="15.75" hidden="false" customHeight="true" outlineLevel="0" collapsed="false">
      <c r="A50" s="42" t="s">
        <v>97</v>
      </c>
      <c r="B50" s="43"/>
      <c r="C50" s="43"/>
      <c r="D50" s="43"/>
      <c r="E50" s="44" t="n">
        <f aca="false">B46*B47</f>
        <v>1994</v>
      </c>
      <c r="F50" s="44" t="n">
        <f aca="false">B46*B47</f>
        <v>1994</v>
      </c>
      <c r="G50" s="44" t="n">
        <f aca="false">B46*B47</f>
        <v>1994</v>
      </c>
      <c r="H50" s="45" t="s">
        <v>98</v>
      </c>
    </row>
    <row r="51" customFormat="false" ht="19.5" hidden="false" customHeight="true" outlineLevel="0" collapsed="false">
      <c r="A51" s="46" t="s">
        <v>99</v>
      </c>
      <c r="B51" s="47"/>
      <c r="C51" s="47"/>
      <c r="D51" s="47"/>
      <c r="E51" s="48" t="n">
        <f aca="false">E49+E50</f>
        <v>4479</v>
      </c>
      <c r="F51" s="48" t="n">
        <f aca="false">F49+F50</f>
        <v>6964</v>
      </c>
      <c r="G51" s="48" t="n">
        <f aca="false">G49+G50</f>
        <v>9449</v>
      </c>
      <c r="H51" s="47"/>
    </row>
    <row r="52" customFormat="false" ht="19.5" hidden="false" customHeight="true" outlineLevel="0" collapsed="false">
      <c r="A52" s="49" t="s">
        <v>100</v>
      </c>
      <c r="B52" s="50"/>
      <c r="C52" s="50"/>
      <c r="D52" s="50"/>
      <c r="E52" s="51" t="n">
        <f aca="false">E51-E41</f>
        <v>1305</v>
      </c>
      <c r="F52" s="51" t="n">
        <f aca="false">F51-F41</f>
        <v>3690</v>
      </c>
      <c r="G52" s="51" t="n">
        <f aca="false">G51-G41</f>
        <v>6075</v>
      </c>
      <c r="H52" s="50"/>
    </row>
    <row r="53" customFormat="false" ht="18" hidden="false" customHeight="true" outlineLevel="0" collapsed="false">
      <c r="A53" s="49" t="s">
        <v>101</v>
      </c>
      <c r="B53" s="50"/>
      <c r="C53" s="50"/>
      <c r="D53" s="50"/>
      <c r="E53" s="52" t="n">
        <f aca="false">IFERROR(E52/E51,0)</f>
        <v>0.291359678499665</v>
      </c>
      <c r="F53" s="52" t="n">
        <f aca="false">IFERROR(F52/F51,0)</f>
        <v>0.529867892016083</v>
      </c>
      <c r="G53" s="52" t="n">
        <f aca="false">IFERROR(G52/G51,0)</f>
        <v>0.642925177267436</v>
      </c>
      <c r="H53" s="50"/>
    </row>
    <row r="55" customFormat="false" ht="21.75" hidden="false" customHeight="true" outlineLevel="0" collapsed="false">
      <c r="A55" s="53" t="s">
        <v>102</v>
      </c>
      <c r="B55" s="53"/>
      <c r="C55" s="53"/>
      <c r="D55" s="53"/>
      <c r="E55" s="53"/>
      <c r="F55" s="53"/>
      <c r="G55" s="53"/>
      <c r="H55" s="53"/>
    </row>
    <row r="56" customFormat="false" ht="21.75" hidden="false" customHeight="true" outlineLevel="0" collapsed="false">
      <c r="A56" s="4" t="s">
        <v>103</v>
      </c>
      <c r="B56" s="5" t="s">
        <v>104</v>
      </c>
      <c r="C56" s="4" t="s">
        <v>105</v>
      </c>
      <c r="D56" s="4"/>
      <c r="E56" s="4" t="s">
        <v>106</v>
      </c>
      <c r="F56" s="4"/>
      <c r="G56" s="4"/>
      <c r="H56" s="4"/>
    </row>
    <row r="57" customFormat="false" ht="15.75" hidden="false" customHeight="true" outlineLevel="0" collapsed="false">
      <c r="A57" s="19" t="s">
        <v>107</v>
      </c>
      <c r="B57" s="7" t="n">
        <v>8</v>
      </c>
      <c r="C57" s="54" t="s">
        <v>108</v>
      </c>
      <c r="D57" s="54"/>
      <c r="E57" s="55" t="s">
        <v>109</v>
      </c>
      <c r="F57" s="55"/>
      <c r="G57" s="55"/>
      <c r="H57" s="55"/>
    </row>
    <row r="58" customFormat="false" ht="15.75" hidden="false" customHeight="true" outlineLevel="0" collapsed="false">
      <c r="A58" s="24" t="s">
        <v>110</v>
      </c>
      <c r="B58" s="11" t="n">
        <v>12</v>
      </c>
      <c r="C58" s="56" t="s">
        <v>111</v>
      </c>
      <c r="D58" s="56"/>
      <c r="E58" s="57" t="s">
        <v>112</v>
      </c>
      <c r="F58" s="57"/>
      <c r="G58" s="57"/>
      <c r="H58" s="57"/>
    </row>
    <row r="59" customFormat="false" ht="15.75" hidden="false" customHeight="true" outlineLevel="0" collapsed="false">
      <c r="A59" s="19" t="s">
        <v>113</v>
      </c>
      <c r="B59" s="7" t="n">
        <v>1</v>
      </c>
      <c r="C59" s="54" t="s">
        <v>114</v>
      </c>
      <c r="D59" s="54"/>
      <c r="E59" s="55" t="s">
        <v>115</v>
      </c>
      <c r="F59" s="55"/>
      <c r="G59" s="55"/>
      <c r="H59" s="55"/>
    </row>
    <row r="60" customFormat="false" ht="15.75" hidden="false" customHeight="true" outlineLevel="0" collapsed="false">
      <c r="A60" s="24" t="s">
        <v>116</v>
      </c>
      <c r="B60" s="11" t="n">
        <v>1</v>
      </c>
      <c r="C60" s="56" t="s">
        <v>117</v>
      </c>
      <c r="D60" s="56"/>
      <c r="E60" s="57" t="s">
        <v>118</v>
      </c>
      <c r="F60" s="57"/>
      <c r="G60" s="57"/>
      <c r="H60" s="57"/>
    </row>
    <row r="61" customFormat="false" ht="15.75" hidden="false" customHeight="true" outlineLevel="0" collapsed="false">
      <c r="A61" s="19" t="s">
        <v>119</v>
      </c>
      <c r="B61" s="7" t="n">
        <v>2</v>
      </c>
      <c r="C61" s="54" t="s">
        <v>120</v>
      </c>
      <c r="D61" s="54"/>
      <c r="E61" s="55" t="s">
        <v>121</v>
      </c>
      <c r="F61" s="55"/>
      <c r="G61" s="55"/>
      <c r="H61" s="55"/>
    </row>
    <row r="62" customFormat="false" ht="19.5" hidden="false" customHeight="true" outlineLevel="0" collapsed="false">
      <c r="A62" s="14" t="s">
        <v>122</v>
      </c>
      <c r="B62" s="58" t="n">
        <f aca="false">SUM(B57:B61)</f>
        <v>24</v>
      </c>
      <c r="C62" s="59" t="s">
        <v>123</v>
      </c>
      <c r="D62" s="59"/>
      <c r="E62" s="59"/>
      <c r="F62" s="59"/>
      <c r="G62" s="59"/>
      <c r="H62" s="59"/>
    </row>
    <row r="64" customFormat="false" ht="18" hidden="false" customHeight="true" outlineLevel="0" collapsed="false">
      <c r="A64" s="60" t="s">
        <v>124</v>
      </c>
      <c r="B64" s="60"/>
      <c r="C64" s="60"/>
      <c r="D64" s="60"/>
      <c r="E64" s="60"/>
      <c r="F64" s="60"/>
      <c r="G64" s="60"/>
      <c r="H64" s="60"/>
    </row>
  </sheetData>
  <mergeCells count="27">
    <mergeCell ref="A1:H1"/>
    <mergeCell ref="A2:H2"/>
    <mergeCell ref="A4:H4"/>
    <mergeCell ref="A23:H23"/>
    <mergeCell ref="A25:H25"/>
    <mergeCell ref="A43:H43"/>
    <mergeCell ref="C45:D45"/>
    <mergeCell ref="E45:G45"/>
    <mergeCell ref="C46:D46"/>
    <mergeCell ref="E46:G46"/>
    <mergeCell ref="C47:D47"/>
    <mergeCell ref="E47:G47"/>
    <mergeCell ref="C48:D48"/>
    <mergeCell ref="E48:G48"/>
    <mergeCell ref="A55:H55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H62"/>
    <mergeCell ref="A64:H6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4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22"/>
  </cols>
  <sheetData>
    <row r="1" customFormat="false" ht="30" hidden="false" customHeight="true" outlineLevel="0" collapsed="false">
      <c r="A1" s="61" t="s">
        <v>125</v>
      </c>
      <c r="B1" s="61"/>
      <c r="C1" s="61"/>
      <c r="D1" s="61"/>
      <c r="E1" s="61"/>
      <c r="F1" s="61"/>
      <c r="G1" s="61"/>
    </row>
    <row r="3" customFormat="false" ht="30" hidden="false" customHeight="true" outlineLevel="0" collapsed="false">
      <c r="B3" s="62" t="s">
        <v>126</v>
      </c>
      <c r="C3" s="62" t="s">
        <v>127</v>
      </c>
      <c r="D3" s="63" t="s">
        <v>128</v>
      </c>
    </row>
    <row r="4" customFormat="false" ht="21.75" hidden="false" customHeight="true" outlineLevel="0" collapsed="false">
      <c r="A4" s="5" t="s">
        <v>129</v>
      </c>
      <c r="B4" s="5" t="s">
        <v>130</v>
      </c>
      <c r="C4" s="5" t="s">
        <v>131</v>
      </c>
      <c r="D4" s="5" t="s">
        <v>132</v>
      </c>
      <c r="E4" s="5" t="s">
        <v>133</v>
      </c>
      <c r="F4" s="5" t="s">
        <v>134</v>
      </c>
      <c r="G4" s="5" t="s">
        <v>135</v>
      </c>
    </row>
    <row r="5" customFormat="false" ht="13.5" hidden="false" customHeight="true" outlineLevel="0" collapsed="false">
      <c r="A5" s="64" t="s">
        <v>136</v>
      </c>
      <c r="B5" s="64"/>
      <c r="C5" s="64"/>
      <c r="D5" s="64"/>
      <c r="E5" s="64"/>
      <c r="F5" s="64"/>
      <c r="G5" s="64"/>
    </row>
    <row r="6" customFormat="false" ht="15.75" hidden="false" customHeight="true" outlineLevel="0" collapsed="false">
      <c r="A6" s="65" t="s">
        <v>137</v>
      </c>
      <c r="B6" s="66" t="n">
        <v>3500</v>
      </c>
      <c r="C6" s="66" t="n">
        <v>6000</v>
      </c>
      <c r="D6" s="67" t="n">
        <v>1500</v>
      </c>
      <c r="E6" s="68" t="s">
        <v>138</v>
      </c>
      <c r="F6" s="68" t="s">
        <v>139</v>
      </c>
      <c r="G6" s="69" t="s">
        <v>140</v>
      </c>
    </row>
    <row r="7" customFormat="false" ht="15.75" hidden="false" customHeight="true" outlineLevel="0" collapsed="false">
      <c r="A7" s="70" t="s">
        <v>141</v>
      </c>
      <c r="B7" s="71" t="n">
        <v>2500</v>
      </c>
      <c r="C7" s="71" t="n">
        <v>4000</v>
      </c>
      <c r="D7" s="72" t="n">
        <v>1000</v>
      </c>
      <c r="E7" s="73" t="s">
        <v>142</v>
      </c>
      <c r="F7" s="73" t="s">
        <v>139</v>
      </c>
      <c r="G7" s="74" t="s">
        <v>143</v>
      </c>
    </row>
    <row r="8" customFormat="false" ht="15.75" hidden="false" customHeight="true" outlineLevel="0" collapsed="false">
      <c r="A8" s="65" t="s">
        <v>144</v>
      </c>
      <c r="B8" s="66" t="n">
        <v>2000</v>
      </c>
      <c r="C8" s="66" t="n">
        <v>3500</v>
      </c>
      <c r="D8" s="67" t="n">
        <v>800</v>
      </c>
      <c r="E8" s="68" t="s">
        <v>145</v>
      </c>
      <c r="F8" s="68" t="s">
        <v>139</v>
      </c>
      <c r="G8" s="69" t="s">
        <v>146</v>
      </c>
    </row>
    <row r="9" customFormat="false" ht="13.5" hidden="false" customHeight="true" outlineLevel="0" collapsed="false">
      <c r="A9" s="64" t="s">
        <v>147</v>
      </c>
      <c r="B9" s="64"/>
      <c r="C9" s="64"/>
      <c r="D9" s="64"/>
      <c r="E9" s="64"/>
      <c r="F9" s="64"/>
      <c r="G9" s="64"/>
    </row>
    <row r="10" customFormat="false" ht="15.75" hidden="false" customHeight="true" outlineLevel="0" collapsed="false">
      <c r="A10" s="65" t="s">
        <v>148</v>
      </c>
      <c r="B10" s="66" t="n">
        <v>4000</v>
      </c>
      <c r="C10" s="66" t="n">
        <v>7000</v>
      </c>
      <c r="D10" s="67" t="n">
        <v>2000</v>
      </c>
      <c r="E10" s="68" t="s">
        <v>149</v>
      </c>
      <c r="F10" s="68" t="s">
        <v>150</v>
      </c>
      <c r="G10" s="69" t="s">
        <v>151</v>
      </c>
    </row>
    <row r="11" customFormat="false" ht="15.75" hidden="false" customHeight="true" outlineLevel="0" collapsed="false">
      <c r="A11" s="70" t="s">
        <v>152</v>
      </c>
      <c r="B11" s="71" t="n">
        <v>4000</v>
      </c>
      <c r="C11" s="71" t="n">
        <v>7000</v>
      </c>
      <c r="D11" s="72" t="n">
        <v>2500</v>
      </c>
      <c r="E11" s="73" t="s">
        <v>149</v>
      </c>
      <c r="F11" s="73" t="s">
        <v>150</v>
      </c>
      <c r="G11" s="74" t="s">
        <v>153</v>
      </c>
    </row>
    <row r="12" customFormat="false" ht="15.75" hidden="false" customHeight="true" outlineLevel="0" collapsed="false">
      <c r="A12" s="65" t="s">
        <v>154</v>
      </c>
      <c r="B12" s="66" t="n">
        <v>2000</v>
      </c>
      <c r="C12" s="66" t="n">
        <v>3500</v>
      </c>
      <c r="D12" s="67" t="n">
        <v>1000</v>
      </c>
      <c r="E12" s="68" t="s">
        <v>155</v>
      </c>
      <c r="F12" s="68" t="s">
        <v>150</v>
      </c>
      <c r="G12" s="69" t="s">
        <v>156</v>
      </c>
    </row>
    <row r="13" customFormat="false" ht="15.75" hidden="false" customHeight="true" outlineLevel="0" collapsed="false">
      <c r="A13" s="70" t="s">
        <v>14</v>
      </c>
      <c r="B13" s="71" t="n">
        <v>3000</v>
      </c>
      <c r="C13" s="71" t="n">
        <v>5000</v>
      </c>
      <c r="D13" s="72" t="n">
        <v>1500</v>
      </c>
      <c r="E13" s="73" t="s">
        <v>157</v>
      </c>
      <c r="F13" s="73" t="s">
        <v>150</v>
      </c>
      <c r="G13" s="74" t="s">
        <v>158</v>
      </c>
    </row>
    <row r="14" customFormat="false" ht="13.5" hidden="false" customHeight="true" outlineLevel="0" collapsed="false">
      <c r="A14" s="64" t="s">
        <v>159</v>
      </c>
      <c r="B14" s="64"/>
      <c r="C14" s="64"/>
      <c r="D14" s="64"/>
      <c r="E14" s="64"/>
      <c r="F14" s="64"/>
      <c r="G14" s="64"/>
    </row>
    <row r="15" customFormat="false" ht="15.75" hidden="false" customHeight="true" outlineLevel="0" collapsed="false">
      <c r="A15" s="70" t="s">
        <v>160</v>
      </c>
      <c r="B15" s="71" t="n">
        <v>5000</v>
      </c>
      <c r="C15" s="71" t="n">
        <v>9000</v>
      </c>
      <c r="D15" s="72" t="n">
        <v>2500</v>
      </c>
      <c r="E15" s="73" t="s">
        <v>161</v>
      </c>
      <c r="F15" s="73" t="s">
        <v>162</v>
      </c>
      <c r="G15" s="74" t="s">
        <v>163</v>
      </c>
    </row>
    <row r="16" customFormat="false" ht="15.75" hidden="false" customHeight="true" outlineLevel="0" collapsed="false">
      <c r="A16" s="65" t="s">
        <v>164</v>
      </c>
      <c r="B16" s="66" t="n">
        <v>2000</v>
      </c>
      <c r="C16" s="66" t="n">
        <v>3500</v>
      </c>
      <c r="D16" s="67" t="n">
        <v>1000</v>
      </c>
      <c r="E16" s="68" t="s">
        <v>155</v>
      </c>
      <c r="F16" s="68" t="s">
        <v>162</v>
      </c>
      <c r="G16" s="69" t="s">
        <v>165</v>
      </c>
    </row>
    <row r="17" customFormat="false" ht="15.75" hidden="false" customHeight="true" outlineLevel="0" collapsed="false">
      <c r="A17" s="70" t="s">
        <v>166</v>
      </c>
      <c r="B17" s="71" t="n">
        <v>3000</v>
      </c>
      <c r="C17" s="71" t="n">
        <v>5000</v>
      </c>
      <c r="D17" s="72" t="n">
        <v>1500</v>
      </c>
      <c r="E17" s="73" t="s">
        <v>157</v>
      </c>
      <c r="F17" s="73" t="s">
        <v>162</v>
      </c>
      <c r="G17" s="74" t="s">
        <v>167</v>
      </c>
    </row>
    <row r="18" customFormat="false" ht="15.75" hidden="false" customHeight="true" outlineLevel="0" collapsed="false">
      <c r="A18" s="65" t="s">
        <v>168</v>
      </c>
      <c r="B18" s="66" t="n">
        <v>3000</v>
      </c>
      <c r="C18" s="66" t="n">
        <v>5000</v>
      </c>
      <c r="D18" s="67" t="n">
        <v>1500</v>
      </c>
      <c r="E18" s="68" t="s">
        <v>157</v>
      </c>
      <c r="F18" s="68" t="s">
        <v>162</v>
      </c>
      <c r="G18" s="69" t="s">
        <v>169</v>
      </c>
    </row>
    <row r="19" customFormat="false" ht="13.5" hidden="false" customHeight="true" outlineLevel="0" collapsed="false">
      <c r="A19" s="64" t="s">
        <v>170</v>
      </c>
      <c r="B19" s="64"/>
      <c r="C19" s="64"/>
      <c r="D19" s="64"/>
      <c r="E19" s="64"/>
      <c r="F19" s="64"/>
      <c r="G19" s="64"/>
    </row>
    <row r="20" customFormat="false" ht="15.75" hidden="false" customHeight="true" outlineLevel="0" collapsed="false">
      <c r="A20" s="65" t="s">
        <v>171</v>
      </c>
      <c r="B20" s="66" t="n">
        <v>3500</v>
      </c>
      <c r="C20" s="66" t="n">
        <v>6000</v>
      </c>
      <c r="D20" s="67" t="n">
        <v>1500</v>
      </c>
      <c r="E20" s="68" t="s">
        <v>138</v>
      </c>
      <c r="F20" s="68" t="s">
        <v>172</v>
      </c>
      <c r="G20" s="69" t="s">
        <v>173</v>
      </c>
    </row>
    <row r="21" customFormat="false" ht="15.75" hidden="false" customHeight="true" outlineLevel="0" collapsed="false">
      <c r="A21" s="70" t="s">
        <v>174</v>
      </c>
      <c r="B21" s="71" t="n">
        <v>1500</v>
      </c>
      <c r="C21" s="71" t="n">
        <v>2500</v>
      </c>
      <c r="D21" s="72" t="n">
        <v>800</v>
      </c>
      <c r="E21" s="73" t="s">
        <v>145</v>
      </c>
      <c r="F21" s="73" t="s">
        <v>172</v>
      </c>
      <c r="G21" s="74" t="s">
        <v>175</v>
      </c>
    </row>
    <row r="22" customFormat="false" ht="15.75" hidden="false" customHeight="true" outlineLevel="0" collapsed="false">
      <c r="A22" s="65" t="s">
        <v>176</v>
      </c>
      <c r="B22" s="66" t="n">
        <v>4000</v>
      </c>
      <c r="C22" s="66" t="n">
        <v>7000</v>
      </c>
      <c r="D22" s="67" t="n">
        <v>2000</v>
      </c>
      <c r="E22" s="68" t="s">
        <v>149</v>
      </c>
      <c r="F22" s="68" t="s">
        <v>172</v>
      </c>
      <c r="G22" s="69" t="s">
        <v>177</v>
      </c>
    </row>
    <row r="23" customFormat="false" ht="15.75" hidden="false" customHeight="true" outlineLevel="0" collapsed="false">
      <c r="A23" s="70" t="s">
        <v>178</v>
      </c>
      <c r="B23" s="71" t="n">
        <v>2000</v>
      </c>
      <c r="C23" s="71" t="n">
        <v>3500</v>
      </c>
      <c r="D23" s="72" t="n">
        <v>800</v>
      </c>
      <c r="E23" s="73" t="s">
        <v>155</v>
      </c>
      <c r="F23" s="73" t="s">
        <v>172</v>
      </c>
      <c r="G23" s="74" t="s">
        <v>179</v>
      </c>
    </row>
    <row r="24" customFormat="false" ht="13.5" hidden="false" customHeight="true" outlineLevel="0" collapsed="false">
      <c r="A24" s="64" t="s">
        <v>180</v>
      </c>
      <c r="B24" s="64"/>
      <c r="C24" s="64"/>
      <c r="D24" s="64"/>
      <c r="E24" s="64"/>
      <c r="F24" s="64"/>
      <c r="G24" s="64"/>
    </row>
    <row r="25" customFormat="false" ht="15.75" hidden="false" customHeight="true" outlineLevel="0" collapsed="false">
      <c r="A25" s="70" t="s">
        <v>181</v>
      </c>
      <c r="B25" s="71" t="n">
        <v>5000</v>
      </c>
      <c r="C25" s="71" t="n">
        <v>9000</v>
      </c>
      <c r="D25" s="72" t="n">
        <v>2500</v>
      </c>
      <c r="E25" s="73" t="s">
        <v>161</v>
      </c>
      <c r="F25" s="73" t="s">
        <v>182</v>
      </c>
      <c r="G25" s="75" t="s">
        <v>183</v>
      </c>
    </row>
    <row r="26" customFormat="false" ht="15.75" hidden="false" customHeight="true" outlineLevel="0" collapsed="false">
      <c r="A26" s="65" t="s">
        <v>184</v>
      </c>
      <c r="B26" s="66" t="n">
        <v>2000</v>
      </c>
      <c r="C26" s="66" t="n">
        <v>3500</v>
      </c>
      <c r="D26" s="67" t="n">
        <v>800</v>
      </c>
      <c r="E26" s="68" t="s">
        <v>155</v>
      </c>
      <c r="F26" s="68" t="s">
        <v>182</v>
      </c>
      <c r="G26" s="69" t="s">
        <v>185</v>
      </c>
    </row>
    <row r="27" customFormat="false" ht="15.75" hidden="false" customHeight="true" outlineLevel="0" collapsed="false">
      <c r="A27" s="70" t="s">
        <v>186</v>
      </c>
      <c r="B27" s="71" t="n">
        <v>2000</v>
      </c>
      <c r="C27" s="71" t="n">
        <v>3500</v>
      </c>
      <c r="D27" s="72" t="n">
        <v>800</v>
      </c>
      <c r="E27" s="73" t="s">
        <v>155</v>
      </c>
      <c r="F27" s="73" t="s">
        <v>182</v>
      </c>
      <c r="G27" s="74" t="s">
        <v>187</v>
      </c>
    </row>
    <row r="28" customFormat="false" ht="13.5" hidden="false" customHeight="true" outlineLevel="0" collapsed="false">
      <c r="A28" s="64" t="s">
        <v>188</v>
      </c>
      <c r="B28" s="64"/>
      <c r="C28" s="64"/>
      <c r="D28" s="64"/>
      <c r="E28" s="64"/>
      <c r="F28" s="64"/>
      <c r="G28" s="64"/>
    </row>
    <row r="29" customFormat="false" ht="15.75" hidden="false" customHeight="true" outlineLevel="0" collapsed="false">
      <c r="A29" s="70" t="s">
        <v>189</v>
      </c>
      <c r="B29" s="71" t="n">
        <v>3000</v>
      </c>
      <c r="C29" s="71" t="n">
        <v>5000</v>
      </c>
      <c r="D29" s="72" t="n">
        <v>1500</v>
      </c>
      <c r="E29" s="73" t="s">
        <v>157</v>
      </c>
      <c r="F29" s="73" t="s">
        <v>190</v>
      </c>
      <c r="G29" s="74" t="s">
        <v>191</v>
      </c>
    </row>
    <row r="30" customFormat="false" ht="15.75" hidden="false" customHeight="true" outlineLevel="0" collapsed="false">
      <c r="A30" s="65" t="s">
        <v>192</v>
      </c>
      <c r="B30" s="66" t="n">
        <v>2500</v>
      </c>
      <c r="C30" s="66" t="n">
        <v>4000</v>
      </c>
      <c r="D30" s="67" t="n">
        <v>1200</v>
      </c>
      <c r="E30" s="68" t="s">
        <v>142</v>
      </c>
      <c r="F30" s="68" t="s">
        <v>190</v>
      </c>
      <c r="G30" s="69" t="s">
        <v>193</v>
      </c>
    </row>
    <row r="31" customFormat="false" ht="13.5" hidden="false" customHeight="true" outlineLevel="0" collapsed="false">
      <c r="A31" s="64" t="s">
        <v>194</v>
      </c>
      <c r="B31" s="64"/>
      <c r="C31" s="64"/>
      <c r="D31" s="64"/>
      <c r="E31" s="64"/>
      <c r="F31" s="64"/>
      <c r="G31" s="64"/>
    </row>
    <row r="32" customFormat="false" ht="15.75" hidden="false" customHeight="true" outlineLevel="0" collapsed="false">
      <c r="A32" s="65" t="s">
        <v>195</v>
      </c>
      <c r="B32" s="66" t="n">
        <v>5000</v>
      </c>
      <c r="C32" s="66" t="n">
        <v>9000</v>
      </c>
      <c r="D32" s="67" t="n">
        <v>2500</v>
      </c>
      <c r="E32" s="68" t="s">
        <v>161</v>
      </c>
      <c r="F32" s="68" t="s">
        <v>196</v>
      </c>
      <c r="G32" s="69" t="s">
        <v>197</v>
      </c>
    </row>
    <row r="33" customFormat="false" ht="13.5" hidden="false" customHeight="true" outlineLevel="0" collapsed="false">
      <c r="A33" s="64" t="s">
        <v>198</v>
      </c>
      <c r="B33" s="64"/>
      <c r="C33" s="64"/>
      <c r="D33" s="64"/>
      <c r="E33" s="64"/>
      <c r="F33" s="64"/>
      <c r="G33" s="64"/>
    </row>
    <row r="34" customFormat="false" ht="15.75" hidden="false" customHeight="true" outlineLevel="0" collapsed="false">
      <c r="A34" s="65" t="s">
        <v>199</v>
      </c>
      <c r="B34" s="66" t="n">
        <v>3000</v>
      </c>
      <c r="C34" s="66" t="n">
        <v>5000</v>
      </c>
      <c r="D34" s="67" t="n">
        <v>1000</v>
      </c>
      <c r="E34" s="68" t="s">
        <v>157</v>
      </c>
      <c r="F34" s="68" t="s">
        <v>200</v>
      </c>
      <c r="G34" s="69" t="s">
        <v>201</v>
      </c>
    </row>
    <row r="35" customFormat="false" ht="13.5" hidden="false" customHeight="true" outlineLevel="0" collapsed="false">
      <c r="A35" s="64" t="s">
        <v>202</v>
      </c>
      <c r="B35" s="64"/>
      <c r="C35" s="64"/>
      <c r="D35" s="64"/>
      <c r="E35" s="64"/>
      <c r="F35" s="64"/>
      <c r="G35" s="64"/>
    </row>
    <row r="36" customFormat="false" ht="15.75" hidden="false" customHeight="true" outlineLevel="0" collapsed="false">
      <c r="A36" s="65" t="s">
        <v>203</v>
      </c>
      <c r="B36" s="66" t="n">
        <v>5000</v>
      </c>
      <c r="C36" s="66" t="n">
        <v>9000</v>
      </c>
      <c r="D36" s="67" t="n">
        <v>2500</v>
      </c>
      <c r="E36" s="68" t="s">
        <v>161</v>
      </c>
      <c r="F36" s="68" t="s">
        <v>204</v>
      </c>
      <c r="G36" s="69" t="s">
        <v>205</v>
      </c>
    </row>
    <row r="37" customFormat="false" ht="21.75" hidden="false" customHeight="true" outlineLevel="0" collapsed="false">
      <c r="A37" s="14" t="s">
        <v>206</v>
      </c>
      <c r="B37" s="58" t="n">
        <v>72500</v>
      </c>
      <c r="C37" s="58" t="n">
        <v>125500</v>
      </c>
      <c r="D37" s="58" t="n">
        <v>34700</v>
      </c>
      <c r="E37" s="76"/>
      <c r="F37" s="76"/>
      <c r="G37" s="76"/>
    </row>
  </sheetData>
  <mergeCells count="10">
    <mergeCell ref="A1:G1"/>
    <mergeCell ref="A5:G5"/>
    <mergeCell ref="A9:G9"/>
    <mergeCell ref="A14:G14"/>
    <mergeCell ref="A19:G19"/>
    <mergeCell ref="A24:G24"/>
    <mergeCell ref="A28:G28"/>
    <mergeCell ref="A31:G31"/>
    <mergeCell ref="A33:G33"/>
    <mergeCell ref="A35:G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7" min="2" style="0" width="14"/>
    <col collapsed="false" customWidth="true" hidden="false" outlineLevel="0" max="8" min="8" style="0" width="22"/>
  </cols>
  <sheetData>
    <row r="1" customFormat="false" ht="30" hidden="false" customHeight="true" outlineLevel="0" collapsed="false">
      <c r="A1" s="77" t="s">
        <v>207</v>
      </c>
      <c r="B1" s="77"/>
      <c r="C1" s="77"/>
      <c r="D1" s="77"/>
      <c r="E1" s="77"/>
      <c r="F1" s="77"/>
      <c r="G1" s="77"/>
      <c r="H1" s="77"/>
    </row>
    <row r="3" customFormat="false" ht="24" hidden="false" customHeight="true" outlineLevel="0" collapsed="false">
      <c r="A3" s="5" t="s">
        <v>208</v>
      </c>
      <c r="B3" s="5" t="s">
        <v>42</v>
      </c>
      <c r="C3" s="5" t="s">
        <v>209</v>
      </c>
      <c r="D3" s="5" t="s">
        <v>210</v>
      </c>
      <c r="E3" s="5" t="s">
        <v>211</v>
      </c>
      <c r="F3" s="5" t="s">
        <v>84</v>
      </c>
      <c r="G3" s="5" t="s">
        <v>86</v>
      </c>
      <c r="H3" s="5" t="s">
        <v>212</v>
      </c>
    </row>
    <row r="4" customFormat="false" ht="12.75" hidden="false" customHeight="true" outlineLevel="0" collapsed="false">
      <c r="A4" s="78" t="s">
        <v>213</v>
      </c>
      <c r="B4" s="78"/>
      <c r="C4" s="78"/>
      <c r="D4" s="78"/>
      <c r="E4" s="78"/>
      <c r="F4" s="78"/>
      <c r="G4" s="78"/>
      <c r="H4" s="78"/>
    </row>
    <row r="5" customFormat="false" ht="15.75" hidden="false" customHeight="true" outlineLevel="0" collapsed="false">
      <c r="A5" s="79" t="s">
        <v>214</v>
      </c>
      <c r="B5" s="12" t="s">
        <v>50</v>
      </c>
      <c r="C5" s="80" t="n">
        <v>100</v>
      </c>
      <c r="D5" s="27"/>
      <c r="E5" s="27" t="n">
        <f aca="false">IFERROR(C5,0)+IFERROR(D5,0)*1</f>
        <v>100</v>
      </c>
      <c r="F5" s="27" t="n">
        <f aca="false">IFERROR(C5,0)+IFERROR(D5,0)*5</f>
        <v>100</v>
      </c>
      <c r="G5" s="27" t="n">
        <f aca="false">IFERROR(C5,0)+IFERROR(D5,0)*15</f>
        <v>100</v>
      </c>
      <c r="H5" s="69" t="s">
        <v>215</v>
      </c>
    </row>
    <row r="6" customFormat="false" ht="15.75" hidden="false" customHeight="true" outlineLevel="0" collapsed="false">
      <c r="A6" s="81" t="s">
        <v>216</v>
      </c>
      <c r="B6" s="8" t="s">
        <v>50</v>
      </c>
      <c r="C6" s="82" t="n">
        <v>89</v>
      </c>
      <c r="D6" s="22"/>
      <c r="E6" s="22" t="n">
        <f aca="false">IFERROR(C6,0)+IFERROR(D6,0)*1</f>
        <v>89</v>
      </c>
      <c r="F6" s="22" t="n">
        <f aca="false">IFERROR(C6,0)+IFERROR(D6,0)*5</f>
        <v>89</v>
      </c>
      <c r="G6" s="22" t="n">
        <f aca="false">IFERROR(C6,0)+IFERROR(D6,0)*15</f>
        <v>89</v>
      </c>
      <c r="H6" s="74" t="s">
        <v>217</v>
      </c>
    </row>
    <row r="7" customFormat="false" ht="15.75" hidden="false" customHeight="true" outlineLevel="0" collapsed="false">
      <c r="A7" s="79" t="s">
        <v>218</v>
      </c>
      <c r="B7" s="12" t="s">
        <v>50</v>
      </c>
      <c r="C7" s="80" t="n">
        <v>80</v>
      </c>
      <c r="D7" s="27"/>
      <c r="E7" s="27" t="n">
        <f aca="false">IFERROR(C7,0)+IFERROR(D7,0)*1</f>
        <v>80</v>
      </c>
      <c r="F7" s="27" t="n">
        <f aca="false">IFERROR(C7,0)+IFERROR(D7,0)*5</f>
        <v>80</v>
      </c>
      <c r="G7" s="27" t="n">
        <f aca="false">IFERROR(C7,0)+IFERROR(D7,0)*15</f>
        <v>80</v>
      </c>
      <c r="H7" s="69" t="s">
        <v>219</v>
      </c>
    </row>
    <row r="8" customFormat="false" ht="15.75" hidden="false" customHeight="true" outlineLevel="0" collapsed="false">
      <c r="A8" s="81" t="s">
        <v>220</v>
      </c>
      <c r="B8" s="8" t="s">
        <v>50</v>
      </c>
      <c r="C8" s="22"/>
      <c r="D8" s="22"/>
      <c r="E8" s="22" t="n">
        <f aca="false">IFERROR(C8,0)+IFERROR(D8,0)*1</f>
        <v>0</v>
      </c>
      <c r="F8" s="22" t="n">
        <f aca="false">IFERROR(C8,0)+IFERROR(D8,0)*5</f>
        <v>0</v>
      </c>
      <c r="G8" s="22" t="n">
        <f aca="false">IFERROR(C8,0)+IFERROR(D8,0)*15</f>
        <v>0</v>
      </c>
      <c r="H8" s="74" t="s">
        <v>221</v>
      </c>
    </row>
    <row r="9" customFormat="false" ht="12.75" hidden="false" customHeight="true" outlineLevel="0" collapsed="false">
      <c r="A9" s="78" t="s">
        <v>222</v>
      </c>
      <c r="B9" s="78"/>
      <c r="C9" s="78"/>
      <c r="D9" s="78"/>
      <c r="E9" s="78"/>
      <c r="F9" s="78"/>
      <c r="G9" s="78"/>
      <c r="H9" s="78"/>
    </row>
    <row r="10" customFormat="false" ht="15.75" hidden="false" customHeight="true" outlineLevel="0" collapsed="false">
      <c r="A10" s="81" t="s">
        <v>223</v>
      </c>
      <c r="B10" s="8" t="s">
        <v>61</v>
      </c>
      <c r="C10" s="22"/>
      <c r="D10" s="82" t="n">
        <v>8</v>
      </c>
      <c r="E10" s="22" t="n">
        <f aca="false">IFERROR(C10,0)+IFERROR(D10,0)*1</f>
        <v>8</v>
      </c>
      <c r="F10" s="22" t="n">
        <f aca="false">IFERROR(C10,0)+IFERROR(D10,0)*5</f>
        <v>40</v>
      </c>
      <c r="G10" s="22" t="n">
        <f aca="false">IFERROR(C10,0)+IFERROR(D10,0)*15</f>
        <v>120</v>
      </c>
      <c r="H10" s="74" t="s">
        <v>224</v>
      </c>
    </row>
    <row r="11" customFormat="false" ht="15.75" hidden="false" customHeight="true" outlineLevel="0" collapsed="false">
      <c r="A11" s="79" t="s">
        <v>225</v>
      </c>
      <c r="B11" s="12" t="s">
        <v>61</v>
      </c>
      <c r="C11" s="27"/>
      <c r="D11" s="80" t="n">
        <v>12</v>
      </c>
      <c r="E11" s="27" t="n">
        <f aca="false">IFERROR(C11,0)+IFERROR(D11,0)*1</f>
        <v>12</v>
      </c>
      <c r="F11" s="27" t="n">
        <f aca="false">IFERROR(C11,0)+IFERROR(D11,0)*5</f>
        <v>60</v>
      </c>
      <c r="G11" s="27" t="n">
        <f aca="false">IFERROR(C11,0)+IFERROR(D11,0)*15</f>
        <v>180</v>
      </c>
      <c r="H11" s="69" t="s">
        <v>226</v>
      </c>
    </row>
    <row r="12" customFormat="false" ht="15.75" hidden="false" customHeight="true" outlineLevel="0" collapsed="false">
      <c r="A12" s="81" t="s">
        <v>227</v>
      </c>
      <c r="B12" s="8" t="s">
        <v>61</v>
      </c>
      <c r="C12" s="22"/>
      <c r="D12" s="82" t="n">
        <v>1</v>
      </c>
      <c r="E12" s="22" t="n">
        <f aca="false">IFERROR(C12,0)+IFERROR(D12,0)*1</f>
        <v>1</v>
      </c>
      <c r="F12" s="22" t="n">
        <f aca="false">IFERROR(C12,0)+IFERROR(D12,0)*5</f>
        <v>5</v>
      </c>
      <c r="G12" s="22" t="n">
        <f aca="false">IFERROR(C12,0)+IFERROR(D12,0)*15</f>
        <v>15</v>
      </c>
      <c r="H12" s="74" t="s">
        <v>228</v>
      </c>
    </row>
    <row r="13" customFormat="false" ht="12.75" hidden="false" customHeight="true" outlineLevel="0" collapsed="false">
      <c r="A13" s="78" t="s">
        <v>229</v>
      </c>
      <c r="B13" s="78"/>
      <c r="C13" s="78"/>
      <c r="D13" s="78"/>
      <c r="E13" s="78"/>
      <c r="F13" s="78"/>
      <c r="G13" s="78"/>
      <c r="H13" s="78"/>
    </row>
    <row r="14" customFormat="false" ht="15.75" hidden="false" customHeight="true" outlineLevel="0" collapsed="false">
      <c r="A14" s="81" t="s">
        <v>230</v>
      </c>
      <c r="B14" s="8" t="s">
        <v>50</v>
      </c>
      <c r="C14" s="82" t="n">
        <v>45</v>
      </c>
      <c r="D14" s="22"/>
      <c r="E14" s="22" t="n">
        <f aca="false">IFERROR(C14,0)+IFERROR(D14,0)*1</f>
        <v>45</v>
      </c>
      <c r="F14" s="22" t="n">
        <f aca="false">IFERROR(C14,0)+IFERROR(D14,0)*5</f>
        <v>45</v>
      </c>
      <c r="G14" s="22" t="n">
        <f aca="false">IFERROR(C14,0)+IFERROR(D14,0)*15</f>
        <v>45</v>
      </c>
      <c r="H14" s="74" t="s">
        <v>231</v>
      </c>
    </row>
    <row r="15" customFormat="false" ht="12.75" hidden="false" customHeight="true" outlineLevel="0" collapsed="false">
      <c r="A15" s="78" t="s">
        <v>232</v>
      </c>
      <c r="B15" s="78"/>
      <c r="C15" s="78"/>
      <c r="D15" s="78"/>
      <c r="E15" s="78"/>
      <c r="F15" s="78"/>
      <c r="G15" s="78"/>
      <c r="H15" s="78"/>
    </row>
    <row r="16" customFormat="false" ht="15.75" hidden="false" customHeight="true" outlineLevel="0" collapsed="false">
      <c r="A16" s="81" t="s">
        <v>67</v>
      </c>
      <c r="B16" s="8" t="s">
        <v>50</v>
      </c>
      <c r="C16" s="22"/>
      <c r="D16" s="22"/>
      <c r="E16" s="22" t="n">
        <f aca="false">IFERROR(C16,0)+IFERROR(D16,0)*1</f>
        <v>0</v>
      </c>
      <c r="F16" s="22" t="n">
        <f aca="false">IFERROR(C16,0)+IFERROR(D16,0)*5</f>
        <v>0</v>
      </c>
      <c r="G16" s="22" t="n">
        <f aca="false">IFERROR(C16,0)+IFERROR(D16,0)*15</f>
        <v>0</v>
      </c>
      <c r="H16" s="74" t="s">
        <v>233</v>
      </c>
    </row>
    <row r="17" customFormat="false" ht="15.75" hidden="false" customHeight="true" outlineLevel="0" collapsed="false">
      <c r="A17" s="79" t="s">
        <v>234</v>
      </c>
      <c r="B17" s="12" t="s">
        <v>50</v>
      </c>
      <c r="C17" s="80" t="n">
        <v>20</v>
      </c>
      <c r="D17" s="27"/>
      <c r="E17" s="27" t="n">
        <f aca="false">IFERROR(C17,0)+IFERROR(D17,0)*1</f>
        <v>20</v>
      </c>
      <c r="F17" s="27" t="n">
        <f aca="false">IFERROR(C17,0)+IFERROR(D17,0)*5</f>
        <v>20</v>
      </c>
      <c r="G17" s="27" t="n">
        <f aca="false">IFERROR(C17,0)+IFERROR(D17,0)*15</f>
        <v>20</v>
      </c>
      <c r="H17" s="69" t="s">
        <v>235</v>
      </c>
    </row>
    <row r="18" customFormat="false" ht="12.75" hidden="false" customHeight="true" outlineLevel="0" collapsed="false">
      <c r="A18" s="78" t="s">
        <v>236</v>
      </c>
      <c r="B18" s="78"/>
      <c r="C18" s="78"/>
      <c r="D18" s="78"/>
      <c r="E18" s="78"/>
      <c r="F18" s="78"/>
      <c r="G18" s="78"/>
      <c r="H18" s="78"/>
    </row>
    <row r="19" customFormat="false" ht="15.75" hidden="false" customHeight="true" outlineLevel="0" collapsed="false">
      <c r="A19" s="79" t="s">
        <v>237</v>
      </c>
      <c r="B19" s="12" t="s">
        <v>50</v>
      </c>
      <c r="C19" s="27"/>
      <c r="D19" s="27"/>
      <c r="E19" s="27" t="n">
        <f aca="false">IFERROR(C19,0)+IFERROR(D19,0)*1</f>
        <v>0</v>
      </c>
      <c r="F19" s="27" t="n">
        <f aca="false">IFERROR(C19,0)+IFERROR(D19,0)*5</f>
        <v>0</v>
      </c>
      <c r="G19" s="27" t="n">
        <f aca="false">IFERROR(C19,0)+IFERROR(D19,0)*15</f>
        <v>0</v>
      </c>
      <c r="H19" s="69" t="s">
        <v>238</v>
      </c>
    </row>
    <row r="20" customFormat="false" ht="15.75" hidden="false" customHeight="true" outlineLevel="0" collapsed="false">
      <c r="A20" s="81" t="s">
        <v>239</v>
      </c>
      <c r="B20" s="8" t="s">
        <v>50</v>
      </c>
      <c r="C20" s="22"/>
      <c r="D20" s="22"/>
      <c r="E20" s="22" t="n">
        <f aca="false">IFERROR(C20,0)+IFERROR(D20,0)*1</f>
        <v>0</v>
      </c>
      <c r="F20" s="22" t="n">
        <f aca="false">IFERROR(C20,0)+IFERROR(D20,0)*5</f>
        <v>0</v>
      </c>
      <c r="G20" s="22" t="n">
        <f aca="false">IFERROR(C20,0)+IFERROR(D20,0)*15</f>
        <v>0</v>
      </c>
      <c r="H20" s="74" t="s">
        <v>240</v>
      </c>
    </row>
    <row r="21" customFormat="false" ht="12.75" hidden="false" customHeight="true" outlineLevel="0" collapsed="false">
      <c r="A21" s="78" t="s">
        <v>241</v>
      </c>
      <c r="B21" s="78"/>
      <c r="C21" s="78"/>
      <c r="D21" s="78"/>
      <c r="E21" s="78"/>
      <c r="F21" s="78"/>
      <c r="G21" s="78"/>
      <c r="H21" s="78"/>
    </row>
    <row r="22" customFormat="false" ht="15.75" hidden="false" customHeight="true" outlineLevel="0" collapsed="false">
      <c r="A22" s="81" t="s">
        <v>242</v>
      </c>
      <c r="B22" s="8" t="s">
        <v>50</v>
      </c>
      <c r="C22" s="82" t="n">
        <v>1200</v>
      </c>
      <c r="D22" s="22"/>
      <c r="E22" s="22" t="n">
        <f aca="false">IFERROR(C22,0)+IFERROR(D22,0)*1</f>
        <v>1200</v>
      </c>
      <c r="F22" s="22" t="n">
        <f aca="false">IFERROR(C22,0)+IFERROR(D22,0)*5</f>
        <v>1200</v>
      </c>
      <c r="G22" s="22" t="n">
        <f aca="false">IFERROR(C22,0)+IFERROR(D22,0)*15</f>
        <v>1200</v>
      </c>
      <c r="H22" s="74" t="s">
        <v>243</v>
      </c>
    </row>
    <row r="23" customFormat="false" ht="15.75" hidden="false" customHeight="true" outlineLevel="0" collapsed="false">
      <c r="A23" s="79" t="s">
        <v>244</v>
      </c>
      <c r="B23" s="12" t="s">
        <v>50</v>
      </c>
      <c r="C23" s="80" t="n">
        <v>300</v>
      </c>
      <c r="D23" s="27"/>
      <c r="E23" s="27" t="n">
        <f aca="false">IFERROR(C23,0)+IFERROR(D23,0)*1</f>
        <v>300</v>
      </c>
      <c r="F23" s="27" t="n">
        <f aca="false">IFERROR(C23,0)+IFERROR(D23,0)*5</f>
        <v>300</v>
      </c>
      <c r="G23" s="27" t="n">
        <f aca="false">IFERROR(C23,0)+IFERROR(D23,0)*15</f>
        <v>300</v>
      </c>
      <c r="H23" s="69" t="s">
        <v>245</v>
      </c>
    </row>
    <row r="24" customFormat="false" ht="12.75" hidden="false" customHeight="true" outlineLevel="0" collapsed="false">
      <c r="A24" s="78" t="s">
        <v>246</v>
      </c>
      <c r="B24" s="78"/>
      <c r="C24" s="78"/>
      <c r="D24" s="78"/>
      <c r="E24" s="78"/>
      <c r="F24" s="78"/>
      <c r="G24" s="78"/>
      <c r="H24" s="78"/>
    </row>
    <row r="25" customFormat="false" ht="15.75" hidden="false" customHeight="true" outlineLevel="0" collapsed="false">
      <c r="A25" s="79" t="s">
        <v>247</v>
      </c>
      <c r="B25" s="12" t="s">
        <v>50</v>
      </c>
      <c r="C25" s="80" t="n">
        <v>1500</v>
      </c>
      <c r="D25" s="27"/>
      <c r="E25" s="27" t="n">
        <f aca="false">IFERROR(C25,0)+IFERROR(D25,0)*1</f>
        <v>1500</v>
      </c>
      <c r="F25" s="27" t="n">
        <f aca="false">IFERROR(C25,0)+IFERROR(D25,0)*5</f>
        <v>1500</v>
      </c>
      <c r="G25" s="27" t="n">
        <f aca="false">IFERROR(C25,0)+IFERROR(D25,0)*15</f>
        <v>1500</v>
      </c>
      <c r="H25" s="69" t="s">
        <v>248</v>
      </c>
    </row>
    <row r="26" customFormat="false" ht="21.75" hidden="false" customHeight="true" outlineLevel="0" collapsed="false">
      <c r="A26" s="14" t="s">
        <v>249</v>
      </c>
      <c r="B26" s="76"/>
      <c r="C26" s="58" t="n">
        <f aca="false">SUM(C5,C6,C7,C8,C10,C11,C12,C14,C16,C17,C19,C20,C22,C23,C25)</f>
        <v>3334</v>
      </c>
      <c r="D26" s="58" t="n">
        <f aca="false">SUM(D5,D6,D7,D8,D10,D11,D12,D14,D16,D17,D19,D20,D22,D23,D25)</f>
        <v>21</v>
      </c>
      <c r="E26" s="58" t="n">
        <f aca="false">SUM(E5,E6,E7,E8,E10,E11,E12,E14,E16,E17,E19,E20,E22,E23,E25)</f>
        <v>3355</v>
      </c>
      <c r="F26" s="58" t="n">
        <f aca="false">SUM(F5,F6,F7,F8,F10,F11,F12,F14,F16,F17,F19,F20,F22,F23,F25)</f>
        <v>3439</v>
      </c>
      <c r="G26" s="58" t="n">
        <f aca="false">SUM(G5,G6,G7,G8,G10,G11,G12,G14,G16,G17,G19,G20,G22,G23,G25)</f>
        <v>3649</v>
      </c>
      <c r="H26" s="76"/>
    </row>
    <row r="28" customFormat="false" ht="19.5" hidden="false" customHeight="true" outlineLevel="0" collapsed="false">
      <c r="A28" s="83" t="s">
        <v>250</v>
      </c>
      <c r="B28" s="83"/>
      <c r="C28" s="83"/>
      <c r="D28" s="83"/>
      <c r="E28" s="83"/>
      <c r="F28" s="83"/>
      <c r="G28" s="83"/>
      <c r="H28" s="83"/>
    </row>
    <row r="29" customFormat="false" ht="30" hidden="false" customHeight="true" outlineLevel="0" collapsed="false">
      <c r="A29" s="84" t="s">
        <v>251</v>
      </c>
      <c r="B29" s="84"/>
      <c r="C29" s="84"/>
      <c r="D29" s="84"/>
      <c r="E29" s="84"/>
      <c r="F29" s="84"/>
      <c r="G29" s="84"/>
      <c r="H29" s="84"/>
    </row>
  </sheetData>
  <mergeCells count="10">
    <mergeCell ref="A1:H1"/>
    <mergeCell ref="A4:H4"/>
    <mergeCell ref="A9:H9"/>
    <mergeCell ref="A13:H13"/>
    <mergeCell ref="A15:H15"/>
    <mergeCell ref="A18:H18"/>
    <mergeCell ref="A21:H21"/>
    <mergeCell ref="A24:H24"/>
    <mergeCell ref="A28:H28"/>
    <mergeCell ref="A29:H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2026-05-20T21:49:32Z</dcterms:created>
  <dc:creator>openpyxl</dc:creator>
  <dc:description/>
  <dc:language>en-US</dc:language>
  <cp:lastModifiedBy/>
  <dcterms:modified xsi:type="dcterms:W3CDTF">2026-05-20T21:49:32Z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